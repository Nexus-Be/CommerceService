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cklog" sheetId="2" state="visible" r:id="rId4"/>
    <sheet name="Trace_Matrix" sheetId="3" state="visible" r:id="rId5"/>
    <sheet name="API_Catalog" sheetId="4" state="visible" r:id="rId6"/>
    <sheet name="DB_Trace" sheetId="5" state="visible" r:id="rId7"/>
    <sheet name="Event_Catalog" sheetId="6" state="visible" r:id="rId8"/>
    <sheet name="Integration_Map" sheetId="7" state="visible" r:id="rId9"/>
    <sheet name="Test_Cases" sheetId="8" state="visible" r:id="rId10"/>
    <sheet name="Gaps_Decisions" sheetId="9" state="visible" r:id="rId11"/>
    <sheet name="SRS_Sync" sheetId="10" state="visible" r:id="rId12"/>
    <sheet name="Error_Codes" sheetId="11" state="visible" r:id="rId13"/>
    <sheet name="Coverage_Summary" sheetId="12" state="visible" r:id="rId14"/>
    <sheet name="CloudEvents_Spec" sheetId="13" state="visible" r:id="rId15"/>
    <sheet name="CloudEvents_Catalog" sheetId="14" state="visible" r:id="rId16"/>
  </sheets>
  <definedNames>
    <definedName function="false" hidden="true" localSheetId="3" name="_xlnm._FilterDatabase" vbProcedure="false">API_Catalog!$A$1:$L$32</definedName>
    <definedName function="false" hidden="true" localSheetId="1" name="_xlnm._FilterDatabase" vbProcedure="false">Backlog!$A$1:$Y$58</definedName>
    <definedName function="false" hidden="true" localSheetId="13" name="_xlnm._FilterDatabase" vbProcedure="false">CloudEvents_Catalog!$A$1:$L$21</definedName>
    <definedName function="false" hidden="true" localSheetId="12" name="_xlnm._FilterDatabase" vbProcedure="false">CloudEvents_Spec!$A$1:$D$32</definedName>
    <definedName function="false" hidden="true" localSheetId="4" name="_xlnm._FilterDatabase" vbProcedure="false">DB_Trace!$A$1:$G$20</definedName>
    <definedName function="false" hidden="true" localSheetId="10" name="_xlnm._FilterDatabase" vbProcedure="false">Error_Codes!$A$1:$E$45</definedName>
    <definedName function="false" hidden="true" localSheetId="5" name="_xlnm._FilterDatabase" vbProcedure="false">Event_Catalog!$A$1:$G$41</definedName>
    <definedName function="false" hidden="true" localSheetId="8" name="_xlnm._FilterDatabase" vbProcedure="false">Gaps_Decisions!$A$1:$G$37</definedName>
    <definedName function="false" hidden="true" localSheetId="6" name="_xlnm._FilterDatabase" vbProcedure="false">Integration_Map!$A$1:$D$31</definedName>
    <definedName function="false" hidden="true" localSheetId="9" name="_xlnm._FilterDatabase" vbProcedure="false">SRS_Sync!$A$1:$F$19</definedName>
    <definedName function="false" hidden="true" localSheetId="7" name="_xlnm._FilterDatabase" vbProcedure="false">Test_Cases!$A$1:$L$312</definedName>
    <definedName function="false" hidden="true" localSheetId="2" name="_xlnm._FilterDatabase" vbProcedure="false">Trace_Matrix!$A$1:$N$77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<sst xmlns="http://schemas.openxmlformats.org/spreadsheetml/2006/main" count="7471" uniqueCount="2798">
  <si>
    <t xml:space="preserve">Commerce Service - Function / API Backlog (traceable)</t>
  </si>
  <si>
    <t xml:space="preserve">Project Nexus (e-commerce &amp; auction) | Commerce team | Built from Functions.xlsx (sheet "Commerce Service"), SRS_Commerce_Service_v1.md, DB_Commerce_v2.sql, and the other service sheets for contracts.</t>
  </si>
  <si>
    <t xml:space="preserve">How to trace</t>
  </si>
  <si>
    <t xml:space="preserve">System SRS section -&gt; COM-* requirement (Trace_Matrix) -&gt; Function ID (Backlog) -&gt; API/trigger (Backlog, API_Catalog) -&gt; Tables (Backlog, DB_Trace) -&gt; Services (Integration_Map) -&gt; Events (Event_Catalog) -&gt; Test cases (Test_Cases).</t>
  </si>
  <si>
    <t xml:space="preserve">Sheets</t>
  </si>
  <si>
    <t xml:space="preserve">Backlog: 57 functions (48 from Functions.xlsx + 9 added). One row per function with priority, wave, SRS/COM links, tables, services, events, rules, errors.</t>
  </si>
  <si>
    <t xml:space="preserve">Trace_Matrix: every COM requirement with the functions, endpoints, tables, events, services and test counts. Coverage column is a formula.</t>
  </si>
  <si>
    <t xml:space="preserve">API_Catalog / Error_Codes: contracts of the HTTP APIs and a derived error-code registry (the "Error Codes" sheet referenced by Functions.xlsx does not exist).</t>
  </si>
  <si>
    <t xml:space="preserve">DB_Trace: 19 tables vs the functions that write/read them (counts are formulas, checked against the Backlog).</t>
  </si>
  <si>
    <t xml:space="preserve">Event_Catalog / Integration_Map: events and cross-service contracts with agreement status.</t>
  </si>
  <si>
    <t xml:space="preserve">Test_Cases: generated per function (happy, negative per error code, security, idempotency, contract) plus end-to-end scenarios.</t>
  </si>
  <si>
    <t xml:space="preserve">Gaps_Decisions: contract conflicts and open decisions (G01-G04 auction items are resolved by the agreed spec). SRS_Sync: the SRS edits needed to match the agreed spec.</t>
  </si>
  <si>
    <t xml:space="preserve">Coverage_Summary: counts by module, priority, wave, change, kind, coverage.</t>
  </si>
  <si>
    <t xml:space="preserve">Conventions</t>
  </si>
  <si>
    <t xml:space="preserve">Priority P0 = needed for the checkout-to-delivery MVP, P1 = important, P2 = optional. Wave 0 = platform foundation, 1 = cart/pricing, 2 = checkout/payment, 3 = order lifecycle/refund/invoice, 4 = auction order, vouchers admin, optional.</t>
  </si>
  <si>
    <t xml:space="preserve">Change: UNCHANGED = as in Functions.xlsx; ADJUSTED = contract changed to fit Commerce/other services (see note); NEW = added here (PROPOSED unless stated).</t>
  </si>
  <si>
    <t xml:space="preserve">Source priority: SRS_Commerce_Service_v1 &gt; COMMERCE_EVENTS_AND_ASYNC_SPEC v2.1 (agreed with Auction 2026-10-27; overrides the SRS on the auction flow, see SRS_Sync) &gt; Functions.xlsx (API paths and payload shapes only; error names and event names are mapped to SRS/spec names).</t>
  </si>
  <si>
    <t xml:space="preserve">Test cases are designed titles with expected results; detailed data and automation are done in sprint. Test cases status = Not run.</t>
  </si>
  <si>
    <t xml:space="preserve">Tech assumption (.NET): ASP.NET Core + EF Core (enum as string), MassTransit outbox/inbox, Quartz/Hangfire with distributed lock, PostgreSQL.</t>
  </si>
  <si>
    <t xml:space="preserve">ID</t>
  </si>
  <si>
    <t xml:space="preserve">Module</t>
  </si>
  <si>
    <t xml:space="preserve">Function name</t>
  </si>
  <si>
    <t xml:space="preserve">Kind</t>
  </si>
  <si>
    <t xml:space="preserve">Endpoint / trigger</t>
  </si>
  <si>
    <t xml:space="preserve">Priority</t>
  </si>
  <si>
    <t xml:space="preserve">Wave</t>
  </si>
  <si>
    <t xml:space="preserve">Complexity</t>
  </si>
  <si>
    <t xml:space="preserve">Change vs Functions.xlsx</t>
  </si>
  <si>
    <t xml:space="preserve">Adjustment note</t>
  </si>
  <si>
    <t xml:space="preserve">System SRS ref</t>
  </si>
  <si>
    <t xml:space="preserve">COM requirement(s)</t>
  </si>
  <si>
    <t xml:space="preserve">Permission</t>
  </si>
  <si>
    <t xml:space="preserve">Tables written</t>
  </si>
  <si>
    <t xml:space="preserve">Tables read</t>
  </si>
  <si>
    <t xml:space="preserve">Integrated services</t>
  </si>
  <si>
    <t xml:space="preserve">Events published</t>
  </si>
  <si>
    <t xml:space="preserve">Events consumed</t>
  </si>
  <si>
    <t xml:space="preserve">Idempotency / concurrency</t>
  </si>
  <si>
    <t xml:space="preserve">Key business rules</t>
  </si>
  <si>
    <t xml:space="preserve">Error codes</t>
  </si>
  <si>
    <t xml:space="preserve">Depends on</t>
  </si>
  <si>
    <t xml:space="preserve">Gaps</t>
  </si>
  <si>
    <t xml:space="preserve"># Test cases</t>
  </si>
  <si>
    <t xml:space="preserve">Test coverage</t>
  </si>
  <si>
    <t xml:space="preserve">CART-01</t>
  </si>
  <si>
    <t xml:space="preserve">Cart</t>
  </si>
  <si>
    <t xml:space="preserve">Get my cart / Lấy giỏ hàng của tôi</t>
  </si>
  <si>
    <t xml:space="preserve">Public API</t>
  </si>
  <si>
    <t xml:space="preserve">GET /api/v1/carts/me</t>
  </si>
  <si>
    <t xml:space="preserve">P0</t>
  </si>
  <si>
    <t xml:space="preserve">M</t>
  </si>
  <si>
    <t xml:space="preserve">ADJUSTED</t>
  </si>
  <si>
    <t xml:space="preserve">Catalog call re-pointed to CAT-39 (status/price/saleType) + CAT-24 (display data); stock via FUL-04. GET never creates a cart.</t>
  </si>
  <si>
    <t xml:space="preserve">3.4.1.1; 3.4.1.5</t>
  </si>
  <si>
    <t xml:space="preserve">COM-CART-001; COM-CART-005</t>
  </si>
  <si>
    <t xml:space="preserve">CART.VIEW / Buyer</t>
  </si>
  <si>
    <t xml:space="preserve">carts, cart_items</t>
  </si>
  <si>
    <t xml:space="preserve">Catalog CAT-39 / CAT-24 (sync, degrade); Fulfillment FUL-04 (sync, optional, cache ~30s)</t>
  </si>
  <si>
    <t xml:space="preserve">Read-only</t>
  </si>
  <si>
    <t xml:space="preserve">Virtual empty cart when none; group by seller_id; show current price without overwriting snapshot; GET does not touch last_activity_at; degrade (200 + warnings) when Catalog/Fulfillment down.</t>
  </si>
  <si>
    <t xml:space="preserve">ORD-26</t>
  </si>
  <si>
    <t xml:space="preserve">G09</t>
  </si>
  <si>
    <t xml:space="preserve">CART-02</t>
  </si>
  <si>
    <t xml:space="preserve">Add item to cart / Thêm sản phẩm vào giỏ</t>
  </si>
  <si>
    <t xml:space="preserve">POST /api/v1/carts/me/items</t>
  </si>
  <si>
    <t xml:space="preserve">L</t>
  </si>
  <si>
    <t xml:space="preserve">UNIQUE(cart_id, sku_id) and carts.row_version now exist in DB v2. Auction-only product detected through CAT-39 (Reason=AUCTION_ONLY) -&gt; 409 PRODUCT_IN_AUCTION.</t>
  </si>
  <si>
    <t xml:space="preserve">3.4.1.1; 3.4.1.2</t>
  </si>
  <si>
    <t xml:space="preserve">COM-CART-001; COM-CART-002</t>
  </si>
  <si>
    <t xml:space="preserve">CART.UPDATE / Buyer</t>
  </si>
  <si>
    <t xml:space="preserve">carts, cart_items, outbox_messages</t>
  </si>
  <si>
    <t xml:space="preserve">checkout_groups, system_settings</t>
  </si>
  <si>
    <t xml:space="preserve">Catalog CAT-39 (sync, before TX); Fulfillment FUL-04 (soft check, before TX)</t>
  </si>
  <si>
    <t xml:space="preserve">CartCreated; CartItemAdded</t>
  </si>
  <si>
    <t xml:space="preserve">Optimistic lock carts.row_version (retry 1-2x); UPSERT ON CONFLICT (cart_id, sku_id); partial unique uq_carts_active_buyer for first-cart race</t>
  </si>
  <si>
    <t xml:space="preserve">qty 1..MAX_QTY_PER_ITEM(99); &lt;=MAX_CART_ITEMS(50) lines; cannot buy own product; no auction product; cart locked when checkout open; unit_price_snapshot = price at first add and never changes on merge; no inventory reservation on add.</t>
  </si>
  <si>
    <t xml:space="preserve">400 VALIDATION_ERROR, 404 PRODUCT_NOT_FOUND, 409 PRODUCT_NOT_AVAILABLE, 409 INSUFFICIENT_STOCK, 409 CART_ITEM_LIMIT_EXCEEDED, 409 CANNOT_BUY_OWN_PRODUCT, 409 PRODUCT_IN_AUCTION, 409 CART_LOCKED, 503 CATALOG_UNAVAILABLE</t>
  </si>
  <si>
    <t xml:space="preserve">ORD-26; ORD-20</t>
  </si>
  <si>
    <t xml:space="preserve">CART-03</t>
  </si>
  <si>
    <t xml:space="preserve">Update cart item quantity / Cập nhật số lượng</t>
  </si>
  <si>
    <t xml:space="preserve">PATCH /api/v1/carts/me/items/{cartItemId}</t>
  </si>
  <si>
    <t xml:space="preserve">Catalog check via CAT-39; row_version column now in DB v2.</t>
  </si>
  <si>
    <t xml:space="preserve">3.4.1.3</t>
  </si>
  <si>
    <t xml:space="preserve">COM-CART-003</t>
  </si>
  <si>
    <t xml:space="preserve">cart_items, carts, outbox_messages</t>
  </si>
  <si>
    <t xml:space="preserve">checkout_groups</t>
  </si>
  <si>
    <t xml:space="preserve">Catalog CAT-39 (sync); Fulfillment FUL-04 (sync)</t>
  </si>
  <si>
    <t xml:space="preserve">CartItemUpdated</t>
  </si>
  <si>
    <t xml:space="preserve">Optimistic lock carts.row_version (retry 1-2x then 409 CONCURRENT_UPDATE)</t>
  </si>
  <si>
    <t xml:space="preserve">qty&gt;=1 and &lt;=MAX_QTY_PER_ITEM and &lt;= available stock; other buyer's item returns 404; refreshes last_activity_at; does not change unit_price_snapshot.</t>
  </si>
  <si>
    <t xml:space="preserve">400 VALIDATION_ERROR, 404 CART_ITEM_NOT_FOUND, 409 INSUFFICIENT_STOCK, 409 PRODUCT_NOT_AVAILABLE, 409 CONCURRENT_UPDATE, 409 CART_LOCKED</t>
  </si>
  <si>
    <t xml:space="preserve">CART-04</t>
  </si>
  <si>
    <t xml:space="preserve">Remove cart item / Xoá một dòng khỏi giỏ</t>
  </si>
  <si>
    <t xml:space="preserve">DELETE /api/v1/carts/me/items/{cartItemId}</t>
  </si>
  <si>
    <t xml:space="preserve">S</t>
  </si>
  <si>
    <t xml:space="preserve">Function name was blank in Functions.xlsx (cell B5); filled in.</t>
  </si>
  <si>
    <t xml:space="preserve">3.4.1.4</t>
  </si>
  <si>
    <t xml:space="preserve">COM-CART-004</t>
  </si>
  <si>
    <t xml:space="preserve">CART.REMOVE_ITEM / Buyer</t>
  </si>
  <si>
    <t xml:space="preserve">-</t>
  </si>
  <si>
    <t xml:space="preserve">CartItemRemoved</t>
  </si>
  <si>
    <t xml:space="preserve">DELETE is idempotent (200 even if the item is already gone)</t>
  </si>
  <si>
    <t xml:space="preserve">Hard delete of cart_items (no deleted_at); recalc item_count/subtotal; cart stays ACTIVE when empty; blocked while checkout open (CART_LOCKED).</t>
  </si>
  <si>
    <t xml:space="preserve">409 CART_LOCKED</t>
  </si>
  <si>
    <t xml:space="preserve">CART-05</t>
  </si>
  <si>
    <t xml:space="preserve">Bulk remove / clear cart / Xoá nhiều dòng hoặc xoá hết</t>
  </si>
  <si>
    <t xml:space="preserve">POST /api/v1/carts/me/items:bulk-remove</t>
  </si>
  <si>
    <t xml:space="preserve">P1</t>
  </si>
  <si>
    <t xml:space="preserve">UNCHANGED</t>
  </si>
  <si>
    <t xml:space="preserve">CartItemRemoved (1 event per batch)</t>
  </si>
  <si>
    <t xml:space="preserve">Idempotent: unknown ids ignored</t>
  </si>
  <si>
    <t xml:space="preserve">cartItemIds 1..100 XOR all=true; POST :bulk-remove instead of DELETE with body.</t>
  </si>
  <si>
    <t xml:space="preserve">400 VALIDATION_ERROR, 409 CART_LOCKED</t>
  </si>
  <si>
    <t xml:space="preserve">CART-06</t>
  </si>
  <si>
    <t xml:space="preserve">Validate cart / Kiểm tra giỏ hàng trước checkout</t>
  </si>
  <si>
    <t xml:space="preserve">POST /api/v1/carts/me/validate (+ internal CartValidator dùng lại ở CHK-01/02)</t>
  </si>
  <si>
    <t xml:space="preserve">Use CAT-39 (Purpose=CART/CHECKOUT) as the single source for 'is purchasable'; PRICE_CHANGED is a warning, OUT_OF_STOCK/INACTIVE block checkout.</t>
  </si>
  <si>
    <t xml:space="preserve">3.4.1.6</t>
  </si>
  <si>
    <t xml:space="preserve">COM-CART-006</t>
  </si>
  <si>
    <t xml:space="preserve">Catalog CAT-39 / CAT-24 (sync); Fulfillment FUL-04 (sync)</t>
  </si>
  <si>
    <t xml:space="preserve">Read-only; internal CartValidator is reused by CHK-01/CHK-02</t>
  </si>
  <si>
    <t xml:space="preserve">Report only, never auto-fix the cart; if CHECKOUT_PRICE_REVALIDATION=true and price changed return PRICE_CHANGED with the new price so the buyer confirms (SRS COM-CART-006); other issues: OUT_OF_STOCK | INACTIVE | SELLER_SUSPENDED | QTY_EXCEEDS_STOCK.</t>
  </si>
  <si>
    <t xml:space="preserve">409 CART_EMPTY, 503 CATALOG_UNAVAILABLE</t>
  </si>
  <si>
    <t xml:space="preserve">CART-07</t>
  </si>
  <si>
    <t xml:space="preserve">Cart price calculation / Tính giá giỏ hàng</t>
  </si>
  <si>
    <t xml:space="preserve">Internal component</t>
  </si>
  <si>
    <t xml:space="preserve">PricingService.calculate(items, address?, vouchers?)</t>
  </si>
  <si>
    <t xml:space="preserve">Blocked on config PLATFORM_MARKUP_PERCENT (not seeded in DB v2) and tax decision.</t>
  </si>
  <si>
    <t xml:space="preserve">3.4.1.5</t>
  </si>
  <si>
    <t xml:space="preserve">COM-CART-005; COM-CHK-003</t>
  </si>
  <si>
    <t xml:space="preserve">System (internal)</t>
  </si>
  <si>
    <t xml:space="preserve">system_settings</t>
  </si>
  <si>
    <t xml:space="preserve">DSC-02 (internal call)</t>
  </si>
  <si>
    <t xml:space="preserve">Pure function</t>
  </si>
  <si>
    <t xml:space="preserve">Shared pricing: product discount -&gt; shop discount -&gt; markup -&gt; system voucher -&gt; ship; invariant total = seller_receive + platform_fee + shipping_fee; platform_fee may be negative.</t>
  </si>
  <si>
    <t xml:space="preserve">422 PRICING_ERROR</t>
  </si>
  <si>
    <t xml:space="preserve">DSC-02; ORD-26</t>
  </si>
  <si>
    <t xml:space="preserve">G20; G23</t>
  </si>
  <si>
    <t xml:space="preserve">CART-08</t>
  </si>
  <si>
    <t xml:space="preserve">Cart summary (badge) / Số lượng giỏ hàng</t>
  </si>
  <si>
    <t xml:space="preserve">GET /api/v1/carts/me/summary</t>
  </si>
  <si>
    <t xml:space="preserve">COM-CART-005</t>
  </si>
  <si>
    <t xml:space="preserve">carts</t>
  </si>
  <si>
    <t xml:space="preserve">Read-only (cacheable)</t>
  </si>
  <si>
    <t xml:space="preserve">Reads denormalized item_count and subtotal_amount; returns 0 when no cart (no auto-create).</t>
  </si>
  <si>
    <t xml:space="preserve">CART-09</t>
  </si>
  <si>
    <t xml:space="preserve">Expire inactive carts / Job hết hạn giỏ hàng</t>
  </si>
  <si>
    <t xml:space="preserve">Job</t>
  </si>
  <si>
    <t xml:space="preserve">chạy mỗi giờ (@Scheduled + ShedLock)</t>
  </si>
  <si>
    <t xml:space="preserve">Interval 'hourly' differs from 1-minute jobs elsewhere; confirm.</t>
  </si>
  <si>
    <t xml:space="preserve">3.4.1.1</t>
  </si>
  <si>
    <t xml:space="preserve">COM-CART-007</t>
  </si>
  <si>
    <t xml:space="preserve">System</t>
  </si>
  <si>
    <t xml:space="preserve">carts, outbox_messages</t>
  </si>
  <si>
    <t xml:space="preserve">CartExpired</t>
  </si>
  <si>
    <t xml:space="preserve">SELECT ... FOR UPDATE SKIP LOCKED, batch 500, ShedLock</t>
  </si>
  <si>
    <t xml:space="preserve">ACTIVE carts with last_activity_at older than CART_EXPIRATION_DAYS(7) become ABANDONED; skip carts with an open checkout; no delete.</t>
  </si>
  <si>
    <t xml:space="preserve">ORD-20; ORD-26</t>
  </si>
  <si>
    <t xml:space="preserve">G26</t>
  </si>
  <si>
    <t xml:space="preserve">CART-10</t>
  </si>
  <si>
    <t xml:space="preserve">Merge guest cart on login / Gộp giỏ khách (OPTIONAL)</t>
  </si>
  <si>
    <t xml:space="preserve">POST /api/v1/carts/me/merge</t>
  </si>
  <si>
    <t xml:space="preserve">P2</t>
  </si>
  <si>
    <t xml:space="preserve">WON'T for MVP by default: SRS COM-CART-009 says login required, no merge (OQ-04). Kept only as an optional placeholder.</t>
  </si>
  <si>
    <t xml:space="preserve">COM-CART-009</t>
  </si>
  <si>
    <t xml:space="preserve">Catalog CAT-39; Fulfillment FUL-04</t>
  </si>
  <si>
    <t xml:space="preserve">CartItemAdded</t>
  </si>
  <si>
    <t xml:space="preserve">Same as CART-02</t>
  </si>
  <si>
    <t xml:space="preserve">&lt;=50 items; each item follows CART-02 rules; skipped items returned with reason.</t>
  </si>
  <si>
    <t xml:space="preserve">G23</t>
  </si>
  <si>
    <t xml:space="preserve">CART-11</t>
  </si>
  <si>
    <t xml:space="preserve">Cleanup on Product/User events / Dọn giỏ theo sự kiện</t>
  </si>
  <si>
    <t xml:space="preserve">Event consumer</t>
  </si>
  <si>
    <t xml:space="preserve">topics: catalog.*, user.*</t>
  </si>
  <si>
    <t xml:space="preserve">3.4.1.4 (cart integrity)</t>
  </si>
  <si>
    <t xml:space="preserve">COM-CART-008; COM-PLT-003</t>
  </si>
  <si>
    <t xml:space="preserve">inbox_messages, cart_items, carts</t>
  </si>
  <si>
    <t xml:space="preserve">Catalog / User events</t>
  </si>
  <si>
    <t xml:space="preserve">ProductDeleted; ProductStatusChanged; UserDeleted</t>
  </si>
  <si>
    <t xml:space="preserve">Inbox (message_id, consumer); at-least-once; batch 500 carts per TX</t>
  </si>
  <si>
    <t xml:space="preserve">ProductDeleted removes cart lines; INACTIVE only flagged (shown in CART-01); UserDeleted marks carts ABANDONED + deleted_at.</t>
  </si>
  <si>
    <t xml:space="preserve">ORD-24</t>
  </si>
  <si>
    <t xml:space="preserve">CHK-01</t>
  </si>
  <si>
    <t xml:space="preserve">Checkout</t>
  </si>
  <si>
    <t xml:space="preserve">Checkout preview / Xem trước thanh toán</t>
  </si>
  <si>
    <t xml:space="preserve">POST /api/v1/checkout/preview</t>
  </si>
  <si>
    <t xml:space="preserve">Wallet balance comes from Wallet WAL-02 (Payment was split into the Wallet service). Catalog via CAT-39/24; quote via FUL-12.</t>
  </si>
  <si>
    <t xml:space="preserve">3.4.2.1; 3.4.1.5</t>
  </si>
  <si>
    <t xml:space="preserve">COM-CHK-001; COM-CHK-003; COM-CHK-004</t>
  </si>
  <si>
    <t xml:space="preserve">CHECKOUT.START / Buyer</t>
  </si>
  <si>
    <t xml:space="preserve">carts, cart_items, discount_codes, discount_code_scopes, discount_code_usages, system_settings</t>
  </si>
  <si>
    <t xml:space="preserve">Catalog CAT-39/24; Fulfillment FUL-12 shipping quote (timeout 3000ms); Wallet WAL-02 balance</t>
  </si>
  <si>
    <t xml:space="preserve">Read-only; returns quoteId (short TTL) reused by CHK-02</t>
  </si>
  <si>
    <t xml:space="preserve">Split by seller; invalid voucher goes to invalidVouchers (does not fail); quote failure returns 200 with null ship fee + warning; COD not supported.</t>
  </si>
  <si>
    <t xml:space="preserve">409 CART_EMPTY, 409 CART_INVALID</t>
  </si>
  <si>
    <t xml:space="preserve">CART-06; CART-07; DSC-02</t>
  </si>
  <si>
    <t xml:space="preserve">G05; G09</t>
  </si>
  <si>
    <t xml:space="preserve">CHK-02</t>
  </si>
  <si>
    <t xml:space="preserve">Create checkout (group + orders) / Tạo checkout và đơn hàng</t>
  </si>
  <si>
    <t xml:space="preserve">POST /api/v1/checkout</t>
  </si>
  <si>
    <t xml:space="preserve">XL</t>
  </si>
  <si>
    <t xml:space="preserve">Inventory reservation contract differs from FUL-06 (event per order) - see G06. Reputation check endpoint differs from User GRPC-04 - see G11.</t>
  </si>
  <si>
    <t xml:space="preserve">3.4.2.1; 3.4.3.1; 3.4.3.7; 3.4.3.8</t>
  </si>
  <si>
    <t xml:space="preserve">COM-CHK-001; COM-CHK-002; COM-CHK-003; COM-CHK-005; COM-CHK-006; COM-CHK-007; COM-ORD-001; COM-PLT-001</t>
  </si>
  <si>
    <t xml:space="preserve">CHECKOUT.START + ORDER.CREATE / Buyer</t>
  </si>
  <si>
    <t xml:space="preserve">idempotency_keys, checkout_groups, orders, order_items, order_status_history, discount_codes, discount_code_usages, saga_state, daily_order_sequences, outbox_messages</t>
  </si>
  <si>
    <t xml:space="preserve">carts, cart_items, system_settings</t>
  </si>
  <si>
    <t xml:space="preserve">Catalog CAT-39 (re-price); User status-trust (GRPC-04 equivalent, undefined); Fulfillment inventory reservation (all-or-nothing per group)</t>
  </si>
  <si>
    <t xml:space="preserve">CheckoutStarted; OrderCreated (per order)</t>
  </si>
  <si>
    <t xml:space="preserve">InventoryReserved (Fulfillment, async variant)</t>
  </si>
  <si>
    <t xml:space="preserve">Idempotency-Key required; CheckoutSaga (TX-1 / reserve / TX-2 or compensate TX-3); uq_checkout_groups_open_cart</t>
  </si>
  <si>
    <t xml:space="preserve">1 cart -&gt; 1 checkout_group + N orders (per seller); deadline = now + CHECKOUT_TIMEOUT_MINUTES(15); amounts and snapshots frozen; cart kept until paid; SLA create order &lt;= 1.5s.</t>
  </si>
  <si>
    <t xml:space="preserve">400 VALIDATION_ERROR, 409 PRICE_CHANGED, 409 CART_INVALID, 409 CHECKOUT_ALREADY_OPEN, 409 INSUFFICIENT_STOCK, 409 VOUCHER_INVALID, 403 REPUTATION_RESTRICTED, 409 IDEMPOTENCY_KEY_CONFLICT, 409 REQUEST_IN_PROGRESS, 503 FULFILLMENT_UNAVAILABLE</t>
  </si>
  <si>
    <t xml:space="preserve">ORD-17; ORD-18; ORD-19; ORD-20; ORD-21; DSC-03; CART-06; CART-07</t>
  </si>
  <si>
    <t xml:space="preserve">G06; G11</t>
  </si>
  <si>
    <t xml:space="preserve">CHK-03</t>
  </si>
  <si>
    <t xml:space="preserve">Pay checkout group / Thanh toán nhóm đơn</t>
  </si>
  <si>
    <t xml:space="preserve">POST /api/v1/checkout-groups/{checkoutGroupId}/pay</t>
  </si>
  <si>
    <t xml:space="preserve">Payment is the Wallet service: WALLET -&gt; event OrderCheckoutRequested (WAL-05A); VNPAY -&gt; WAL-05B direct gateway. Functions.xlsx assumed HTTP POST /internal/v1/payments; contract must be aligned.</t>
  </si>
  <si>
    <t xml:space="preserve">3.4.2.2</t>
  </si>
  <si>
    <t xml:space="preserve">COM-PAY-001</t>
  </si>
  <si>
    <t xml:space="preserve">CHECKOUT.PAY (NEW) / Buyer</t>
  </si>
  <si>
    <t xml:space="preserve">checkout_groups, orders, saga_state, idempotency_keys, outbox_messages</t>
  </si>
  <si>
    <t xml:space="preserve">orders, checkout_groups</t>
  </si>
  <si>
    <t xml:space="preserve">Wallet WAL-05A (event) / WAL-05B (HTTP); payment status query (undefined)</t>
  </si>
  <si>
    <t xml:space="preserve">OrderCheckoutRequested (WALLET path, per WAL-05A)</t>
  </si>
  <si>
    <t xml:space="preserve">Idempotency-Key required; optimistic lock row_version; attempt counter payment_attempt_count (max PAYMENT_RETRY_LIMIT=3)</t>
  </si>
  <si>
    <t xml:space="preserve">Never returns PAID synchronously (202 PAYMENT_PROCESSING; PAID only via PAY-01); Commerce never debits money itself; no cancel while PAYMENT_PROCESSING.</t>
  </si>
  <si>
    <t xml:space="preserve">404 CHECKOUT_GROUP_NOT_FOUND, 409 CHECKOUT_NOT_PAYABLE, 410 DEADLINE_EXPIRED, 402 INSUFFICIENT_WALLET_BALANCE, 409 PAYMENT_ATTEMPT_LIMIT_REACHED, 502 PAYMENT_GATEWAY_ERROR, 202 PAYMENT_PROCESSING</t>
  </si>
  <si>
    <t xml:space="preserve">CHK-02; ORD-19</t>
  </si>
  <si>
    <t xml:space="preserve">G05</t>
  </si>
  <si>
    <t xml:space="preserve">CHK-04</t>
  </si>
  <si>
    <t xml:space="preserve">Get checkout group / Xem trạng thái checkout</t>
  </si>
  <si>
    <t xml:space="preserve">GET /api/v1/checkout-groups/{checkoutGroupId}</t>
  </si>
  <si>
    <t xml:space="preserve">No list endpoint for checkout groups although idx_checkout_groups_buyer exists.</t>
  </si>
  <si>
    <t xml:space="preserve">3.4.2.3; 3.4.3.3</t>
  </si>
  <si>
    <t xml:space="preserve">COM-CHK-009</t>
  </si>
  <si>
    <t xml:space="preserve">ORDER.VIEW / Buyer (own)</t>
  </si>
  <si>
    <t xml:space="preserve">checkout_groups, orders</t>
  </si>
  <si>
    <t xml:space="preserve">Read-only (FE polls every 2-3s, ~2 min)</t>
  </si>
  <si>
    <t xml:space="preserve">Own group only (404 otherwise); status set PENDING_PAYMENT | PAYMENT_PROCESSING | PAID | CANCELLED | EXPIRED.</t>
  </si>
  <si>
    <t xml:space="preserve">404 CHECKOUT_GROUP_NOT_FOUND</t>
  </si>
  <si>
    <t xml:space="preserve">CHK-05</t>
  </si>
  <si>
    <t xml:space="preserve">Cancel checkout group / Huỷ checkout chưa thanh toán</t>
  </si>
  <si>
    <t xml:space="preserve">POST /api/v1/checkout-groups/{checkoutGroupId}/cancel</t>
  </si>
  <si>
    <t xml:space="preserve">Matches COM-CHK-010 (cancel the whole group, never single unpaid orders). Events spec API 13 conflicts: see G35.</t>
  </si>
  <si>
    <t xml:space="preserve">3.4.2.4</t>
  </si>
  <si>
    <t xml:space="preserve">COM-CHK-010; COM-CNL-001</t>
  </si>
  <si>
    <t xml:space="preserve">ORDER.CANCEL / Buyer</t>
  </si>
  <si>
    <t xml:space="preserve">checkout_groups, orders, order_cancellations, order_status_history, discount_code_usages, discount_codes, saga_state, outbox_messages</t>
  </si>
  <si>
    <t xml:space="preserve">Wallet (payment-in-flight check, undefined); Fulfillment release via OrderCancelled event (FUL-10)</t>
  </si>
  <si>
    <t xml:space="preserve">OrderCancelled (per order); CheckoutCancelled</t>
  </si>
  <si>
    <t xml:space="preserve">CAS on row_version</t>
  </si>
  <si>
    <t xml:space="preserve">Only PENDING_PAYMENT groups; sole path to cancel an unpaid normal order; was_paid=false so no refund; inventory_released updated by ORD-22.</t>
  </si>
  <si>
    <t xml:space="preserve">409 CHECKOUT_NOT_CANCELLABLE, 409 PAYMENT_IN_PROGRESS</t>
  </si>
  <si>
    <t xml:space="preserve">ORD-18; DSC-04</t>
  </si>
  <si>
    <t xml:space="preserve">CHK-06</t>
  </si>
  <si>
    <t xml:space="preserve">Expire unpaid checkout / Job hết hạn thanh toán</t>
  </si>
  <si>
    <t xml:space="preserve">mỗi 1 phút (+ consumer InventoryReservationExpired làm lưới an toàn)</t>
  </si>
  <si>
    <t xml:space="preserve">Interval 15 s per Events spec 3.4 (SRS leaves OPEN). Payment status lookup still undefined (G05).</t>
  </si>
  <si>
    <t xml:space="preserve">3.4.2.4; 3.4.3.8</t>
  </si>
  <si>
    <t xml:space="preserve">COM-CHK-008</t>
  </si>
  <si>
    <t xml:space="preserve">Wallet payment status by referenceIds (batch, undefined); Fulfillment release via event</t>
  </si>
  <si>
    <t xml:space="preserve">CheckoutExpired; OrderCancelled (PAYMENT_TIMEOUT, SYSTEM)</t>
  </si>
  <si>
    <t xml:space="preserve">SKIP LOCKED batch 100; every 15 s (spec, PROPOSED, OQ-19)</t>
  </si>
  <si>
    <t xml:space="preserve">Cancel group where status=PENDING_PAYMENT and payment_deadline_at &lt; now; if Payment says SUCCEEDED hand over to PAY-01; never blind-cancel.</t>
  </si>
  <si>
    <t xml:space="preserve">ORD-18; DSC-04; PAY-01</t>
  </si>
  <si>
    <t xml:space="preserve">PAY-01</t>
  </si>
  <si>
    <t xml:space="preserve">Payment (Commerce side)</t>
  </si>
  <si>
    <t xml:space="preserve">Handle payment result / Nhận kết quả thanh toán</t>
  </si>
  <si>
    <t xml:space="preserve">PaymentSucceeded | PaymentFailed | PaymentExpired (event do Payment Service phát, cần chốt contract)</t>
  </si>
  <si>
    <t xml:space="preserve">Wallet events are the target (Payment split, OQ-17); Events spec keeps temporary names PaymentSucceeded / PaymentFailed behind an adapter. VNPAY success event does not exist yet.</t>
  </si>
  <si>
    <t xml:space="preserve">3.4.2.3; 3.4.3.7; 3.4.3.8</t>
  </si>
  <si>
    <t xml:space="preserve">COM-PAY-002; COM-PAY-003; COM-PAY-004; COM-AUC-007; COM-AUC-008</t>
  </si>
  <si>
    <t xml:space="preserve">System (service-to-service, JWT dịch vụ / mTLS)</t>
  </si>
  <si>
    <t xml:space="preserve">inbox_messages, checkout_groups, orders, auction_orders, order_status_history, order_refunds, discount_codes, discount_code_usages, cart_items, carts, saga_state, outbox_messages</t>
  </si>
  <si>
    <t xml:space="preserve">orders, order_items, auction_orders</t>
  </si>
  <si>
    <t xml:space="preserve">Wallet events (consume); Fulfillment confirm via OrderPaid (FUL-09); refund via OrderRefundRequested</t>
  </si>
  <si>
    <t xml:space="preserve">OrderPaid (per order); OrderPaymentFailed; CheckoutCompleted (not in SRS 5.2); OrderRefundRequested (late/mismatch)</t>
  </si>
  <si>
    <t xml:space="preserve">WalletDebitedSuccess / WalletDebitFailed (target); PaymentSucceeded / PaymentFailed / PaymentExpired (as written)</t>
  </si>
  <si>
    <t xml:space="preserve">Inbox (message_id, consumer); optimistic lock row_version</t>
  </si>
  <si>
    <t xml:space="preserve">amount must equal total_amount else no PAID + refund; late payment (group EXPIRED/CANCELLED) -&gt; full refund by checkout_group_id; failed/expired -&gt; group back to PENDING_PAYMENT (&lt;=3 attempts); seller_respond_deadline_at = paid_at + 24h.</t>
  </si>
  <si>
    <t xml:space="preserve">ORD-18; DSC-04; ORD-19; CHK-03; AO-03</t>
  </si>
  <si>
    <t xml:space="preserve">DSC-01</t>
  </si>
  <si>
    <t xml:space="preserve">Discount</t>
  </si>
  <si>
    <t xml:space="preserve">List available vouchers / Danh sách voucher khả dụng</t>
  </si>
  <si>
    <t xml:space="preserve">GET /api/v1/vouchers/available?cartItemIds=&amp;sellerId=&amp;page=&amp;size=</t>
  </si>
  <si>
    <t xml:space="preserve">- (not in system SRS; from DB design)</t>
  </si>
  <si>
    <t xml:space="preserve">COM-DSC-002</t>
  </si>
  <si>
    <t xml:space="preserve">discount_codes, discount_code_scopes, discount_code_usages</t>
  </si>
  <si>
    <t xml:space="preserve">Catalog (category/product of items for CATEGORY/SKU scope)</t>
  </si>
  <si>
    <t xml:space="preserve">ACTIVE, visible, in period, not exhausted, per-user limit not reached; hidden codes still usable when typed.</t>
  </si>
  <si>
    <t xml:space="preserve">404 SELLER_NOT_FOUND</t>
  </si>
  <si>
    <t xml:space="preserve">G12</t>
  </si>
  <si>
    <t xml:space="preserve">DSC-02</t>
  </si>
  <si>
    <t xml:space="preserve">Validate &amp; calculate voucher / Kiểm tra và tính giảm giá</t>
  </si>
  <si>
    <t xml:space="preserve">VoucherService.validateAndCalculate(code, userId, scopeContext)</t>
  </si>
  <si>
    <t xml:space="preserve">COM-DSC-003; COM-DSC-004; COM-DSC-005</t>
  </si>
  <si>
    <t xml:space="preserve">Pure / read-only</t>
  </si>
  <si>
    <t xml:space="preserve">PERCENT = min(eligible*value/100, max_discount_amount); FIXED = min(value, eligible); order PRODUCT -&gt; SHOP -&gt; markup -&gt; SYSTEM; 1 SYSTEM/group, 1 SHOP/order, 1 PRODUCT/item; SYSTEM pro-rata with remainder on last order.</t>
  </si>
  <si>
    <t xml:space="preserve">DSC-03</t>
  </si>
  <si>
    <t xml:space="preserve">Reserve vouchers / Giữ lượt voucher</t>
  </si>
  <si>
    <t xml:space="preserve">VoucherService.reserve(checkoutGroupId, orderId?, userId, codes) – gọi trong TX-1 của CHK-02</t>
  </si>
  <si>
    <t xml:space="preserve">COM-DSC-004; COM-DSC-006</t>
  </si>
  <si>
    <t xml:space="preserve">discount_codes, discount_code_usages</t>
  </si>
  <si>
    <t xml:space="preserve">discount_code_usages</t>
  </si>
  <si>
    <t xml:space="preserve">Conditional UPDATE (atomic counter) + pg_advisory_xact_lock(code,user); runs inside CHK-02 TX-1</t>
  </si>
  <si>
    <t xml:space="preserve">reserved_count+1 only if used+reserved &lt; max_uses_total; SYSTEM usage binds checkout_group_id, SHOP/PRODUCT binds order_id.</t>
  </si>
  <si>
    <t xml:space="preserve">DSC-04</t>
  </si>
  <si>
    <t xml:space="preserve">Confirm / Release voucher usage / Xác nhận hoặc trả lại lượt voucher</t>
  </si>
  <si>
    <t xml:space="preserve">VoucherService.confirm(groupId) / release(orderId|groupId, reason)</t>
  </si>
  <si>
    <t xml:space="preserve">BA decision pending: do vouchers return when a buyer cancels after paying.</t>
  </si>
  <si>
    <t xml:space="preserve">COM-DSC-006</t>
  </si>
  <si>
    <t xml:space="preserve">Idempotent (USED/RELEASED rows skipped); called inside PAY-01 / CHK-05 / CHK-06 / ORD-05/06/09 TX</t>
  </si>
  <si>
    <t xml:space="preserve">confirm: RESERVED-&gt;USED (used+1, reserved-1); release: RESERVED/USED-&gt;RELEASED.</t>
  </si>
  <si>
    <t xml:space="preserve">G18</t>
  </si>
  <si>
    <t xml:space="preserve">DSC-05</t>
  </si>
  <si>
    <t xml:space="preserve">Create voucher / Tạo voucher</t>
  </si>
  <si>
    <t xml:space="preserve">POST /api/v1/vouchers</t>
  </si>
  <si>
    <t xml:space="preserve">NEW</t>
  </si>
  <si>
    <t xml:space="preserve">PROPOSED. DB has discount_codes/discount_code_scopes but Functions.xlsx has no API that creates vouchers; privileges DISCOUNT.* are not in SRS 2.7.</t>
  </si>
  <si>
    <t xml:space="preserve">- (gap: no system SRS section)</t>
  </si>
  <si>
    <t xml:space="preserve">COM-DSC-001; COM-DSC-003</t>
  </si>
  <si>
    <t xml:space="preserve">DISCOUNT.CREATE (NEW) / Admin, Seller</t>
  </si>
  <si>
    <t xml:space="preserve">discount_codes, discount_code_scopes, outbox_messages</t>
  </si>
  <si>
    <t xml:space="preserve">discount_codes</t>
  </si>
  <si>
    <t xml:space="preserve">Catalog (validate SHOP/PRODUCT/SKU/CATEGORY ref, optional)</t>
  </si>
  <si>
    <t xml:space="preserve">Unique lower(code) among non-deleted</t>
  </si>
  <si>
    <t xml:space="preserve">Admin creates SYSTEM (owner NULL); Seller creates SHOP/PRODUCT (owner = JWT sub); PERCENT&lt;=100; ends_at&gt;starts_at; scope ALL iff ref NULL.</t>
  </si>
  <si>
    <t xml:space="preserve">400 VALIDATION_ERROR, 409 VOUCHER_CODE_EXISTS, 403 FORBIDDEN</t>
  </si>
  <si>
    <t xml:space="preserve">G12; G29</t>
  </si>
  <si>
    <t xml:space="preserve">DSC-06</t>
  </si>
  <si>
    <t xml:space="preserve">Update / activate / delete voucher / Sửa, bật tắt, xoá voucher</t>
  </si>
  <si>
    <t xml:space="preserve">PATCH /api/v1/vouchers/{voucherId}</t>
  </si>
  <si>
    <t xml:space="preserve">PROPOSED. Update, activate/deactivate and soft-delete a voucher.</t>
  </si>
  <si>
    <t xml:space="preserve">COM-DSC-001</t>
  </si>
  <si>
    <t xml:space="preserve">DISCOUNT.UPDATE (NEW) / Admin, Seller (own)</t>
  </si>
  <si>
    <t xml:space="preserve">discount_codes, discount_code_scopes</t>
  </si>
  <si>
    <t xml:space="preserve">Optimistic update; counters never edited directly</t>
  </si>
  <si>
    <t xml:space="preserve">Owner only; status DRAFT-&gt;ACTIVE-&gt;INACTIVE/EXPIRED; once used, value/type are immutable; soft delete via deleted_at.</t>
  </si>
  <si>
    <t xml:space="preserve">400 VALIDATION_ERROR, 404 VOUCHER_NOT_FOUND, 409 VOUCHER_ALREADY_USED, 403 FORBIDDEN</t>
  </si>
  <si>
    <t xml:space="preserve">DSC-07</t>
  </si>
  <si>
    <t xml:space="preserve">List vouchers for management / Quản lý danh sách voucher</t>
  </si>
  <si>
    <t xml:space="preserve">GET /api/v1/vouchers</t>
  </si>
  <si>
    <t xml:space="preserve">PROPOSED. Management list (seller: own codes; admin: all) - distinct from buyer-facing DSC-01.</t>
  </si>
  <si>
    <t xml:space="preserve">DISCOUNT.VIEW (NEW) / Admin, Seller (own)</t>
  </si>
  <si>
    <t xml:space="preserve">Filter by status/scope; paging &lt;=50; seller sees only own owner_seller_id.</t>
  </si>
  <si>
    <t xml:space="preserve">403 FORBIDDEN</t>
  </si>
  <si>
    <t xml:space="preserve">DSC-08</t>
  </si>
  <si>
    <t xml:space="preserve">Expire vouchers / Job hết hạn voucher</t>
  </si>
  <si>
    <t xml:space="preserve">Scheduled - hourly</t>
  </si>
  <si>
    <t xml:space="preserve">PROPOSED job: ACTIVE codes whose ends_at &lt; now become EXPIRED.</t>
  </si>
  <si>
    <t xml:space="preserve">COM-DSC-007</t>
  </si>
  <si>
    <t xml:space="preserve">Batch + SKIP LOCKED</t>
  </si>
  <si>
    <t xml:space="preserve">Does not touch RESERVED usages (they are released by checkout expiry).</t>
  </si>
  <si>
    <t xml:space="preserve">ORD-01</t>
  </si>
  <si>
    <t xml:space="preserve">Order</t>
  </si>
  <si>
    <t xml:space="preserve">List my orders / Lịch sử đơn hàng của tôi</t>
  </si>
  <si>
    <t xml:space="preserve">GET /api/v1/orders</t>
  </si>
  <si>
    <t xml:space="preserve">3.4.3.4</t>
  </si>
  <si>
    <t xml:space="preserve">COM-ORD-002; COM-ORD-012</t>
  </si>
  <si>
    <t xml:space="preserve">ORDER.LIST / Buyer (own)</t>
  </si>
  <si>
    <t xml:space="preserve">orders, auction_orders, order_items</t>
  </si>
  <si>
    <t xml:space="preserve">User batch lookup of seller name (cache; endpoint undefined)</t>
  </si>
  <si>
    <t xml:space="preserve">UNION ALL orders + auction_orders; buyer_id = JWT sub; deleted_at IS NULL; size&lt;=100; range&lt;=1 year; sort whitelist.</t>
  </si>
  <si>
    <t xml:space="preserve">400 VALIDATION_ERROR</t>
  </si>
  <si>
    <t xml:space="preserve">G11</t>
  </si>
  <si>
    <t xml:space="preserve">ORD-02</t>
  </si>
  <si>
    <t xml:space="preserve">Get order detail / Chi tiết &amp; theo dõi đơn hàng</t>
  </si>
  <si>
    <t xml:space="preserve">GET /api/v1/orders/{orderId}?orderType=REGULAR|AUCTION</t>
  </si>
  <si>
    <t xml:space="preserve">3.4.3.3</t>
  </si>
  <si>
    <t xml:space="preserve">COM-ORD-003</t>
  </si>
  <si>
    <t xml:space="preserve">ORDER.VIEW / Buyer (own), Seller (own), Admin, Support</t>
  </si>
  <si>
    <t xml:space="preserve">orders, auction_orders, order_items, order_status_history, order_cancellations, order_refunds, order_invoices</t>
  </si>
  <si>
    <t xml:space="preserve">Fulfillment FUL-18/19/20 (shipment, degrade to null)</t>
  </si>
  <si>
    <t xml:space="preserve">Buyer own / Seller own (paid_at not null only) / Admin, Support all; forbidden =&gt; 404; amounts shown by role (platformFee admin only); allowedActions from state machine.</t>
  </si>
  <si>
    <t xml:space="preserve">404 ORDER_NOT_FOUND</t>
  </si>
  <si>
    <t xml:space="preserve">ORD-18</t>
  </si>
  <si>
    <t xml:space="preserve">ORD-03</t>
  </si>
  <si>
    <t xml:space="preserve">Seller order list / Danh sách đơn của seller</t>
  </si>
  <si>
    <t xml:space="preserve">GET /api/v1/seller/orders</t>
  </si>
  <si>
    <t xml:space="preserve">COM-ORD-004</t>
  </si>
  <si>
    <t xml:space="preserve">ORDER.LIST / Seller (own)</t>
  </si>
  <si>
    <t xml:space="preserve">orders, auction_orders</t>
  </si>
  <si>
    <t xml:space="preserve">paid_at IS NOT NULL mandatory; status=PENDING_PAYMENT -&gt; 400; statusCounts in one GROUP BY; PAID near deadline first.</t>
  </si>
  <si>
    <t xml:space="preserve">ORD-04</t>
  </si>
  <si>
    <t xml:space="preserve">Seller accept order / Seller xác nhận đơn</t>
  </si>
  <si>
    <t xml:space="preserve">POST /api/v1/seller/orders/{orderId}/accept?orderType=</t>
  </si>
  <si>
    <t xml:space="preserve">Event renamed OrderConfirmed per Events spec; Fulfillment FUL-13 must switch the listener name (G13). Shipment creation at CONFIRMED is OQ-20 (behind flag). Status CONFIRMED exists in DB v2.</t>
  </si>
  <si>
    <t xml:space="preserve">3.4.3.2</t>
  </si>
  <si>
    <t xml:space="preserve">COM-ORD-005; COM-AUC-007</t>
  </si>
  <si>
    <t xml:space="preserve">ORDER.CONFIRM (SRS OQ-12) / Seller</t>
  </si>
  <si>
    <t xml:space="preserve">orders, auction_orders, order_status_history, outbox_messages</t>
  </si>
  <si>
    <t xml:space="preserve">Fulfillment creates shipment asynchronously on OrderConfirmed (FUL-13 listener name to switch, G13)</t>
  </si>
  <si>
    <t xml:space="preserve">OrderConfirmed (renamed from OrderSellerAccepted, spec 2.4.5 PROPOSED)</t>
  </si>
  <si>
    <t xml:space="preserve">CAS UPDATE ... WHERE status='PAID' AND row_version=?</t>
  </si>
  <si>
    <t xml:space="preserve">seller_id = sub; status PAID; now &lt;= seller_respond_deadline_at; sets seller_accepted_at.</t>
  </si>
  <si>
    <t xml:space="preserve">404 ORDER_NOT_FOUND, 409 ORDER_STATE_CONFLICT, 410 DEADLINE_EXPIRED</t>
  </si>
  <si>
    <t xml:space="preserve">G14</t>
  </si>
  <si>
    <t xml:space="preserve">ORD-05</t>
  </si>
  <si>
    <t xml:space="preserve">Seller reject order / Seller từ chối đơn</t>
  </si>
  <si>
    <t xml:space="preserve">POST /api/v1/seller/orders/{orderId}/reject?orderType=</t>
  </si>
  <si>
    <t xml:space="preserve">reasonCode is frozen to SELLER_REJECTED (SRS 5.6); Functions.xlsx codes OUT_OF_STOCK / CANNOT_FULFILL / OTHER go into reasonNote. Notification and User listen to OrderSellerRejected: they must listen to OrderCancelled instead (G13).</t>
  </si>
  <si>
    <t xml:space="preserve">3.4.3.2; 3.4.2.4</t>
  </si>
  <si>
    <t xml:space="preserve">COM-ORD-006; COM-CNL-001; COM-RFD-001; COM-AUC-008</t>
  </si>
  <si>
    <t xml:space="preserve">ORDER.REJECT (SRS OQ-12) / Seller</t>
  </si>
  <si>
    <t xml:space="preserve">orders, auction_orders, order_cancellations, order_refunds, order_status_history, discount_codes, discount_code_usages, saga_state, outbox_messages</t>
  </si>
  <si>
    <t xml:space="preserve">Wallet refund via OrderRefundRequested; Fulfillment release via OrderCancelled; User penalty via event</t>
  </si>
  <si>
    <t xml:space="preserve">OrderCancelled (SELLER_REJECTED, SELLER); OrderRefundRequested</t>
  </si>
  <si>
    <t xml:space="preserve">OrderCancellationSaga TX-1 (CAS), rest async</t>
  </si>
  <si>
    <t xml:space="preserve">status in {PAID, CONFIRMED}; reasonCode SELLER_REJECTED + reasonNote; 100% refund; was_paid=true.</t>
  </si>
  <si>
    <t xml:space="preserve">409 ORDER_STATE_CONFLICT</t>
  </si>
  <si>
    <t xml:space="preserve">ORD-18; ORD-06; DSC-04</t>
  </si>
  <si>
    <t xml:space="preserve">G05; G13</t>
  </si>
  <si>
    <t xml:space="preserve">ORD-06</t>
  </si>
  <si>
    <t xml:space="preserve">Cancel order / Huỷ đơn (Buyer, Support, Admin)</t>
  </si>
  <si>
    <t xml:space="preserve">POST /api/v1/orders/{orderId}/cancel?orderType=</t>
  </si>
  <si>
    <t xml:space="preserve">Unpaid normal orders must use CHK-05 (COM-CHK-010); Events spec API 13 allows per-order cancel of PENDING_PAYMENT, SRS wins (G35). reasonCode BUYER_CANCELLED or ADMIN_CANCELLED + reasonNote. Write refund data only to order_refunds.</t>
  </si>
  <si>
    <t xml:space="preserve">COM-CNL-001; COM-CNL-002; COM-CNL-003; COM-CNL-004; COM-RFD-001; COM-AUC-008</t>
  </si>
  <si>
    <t xml:space="preserve">ORDER.CANCEL / Buyer (own), Support, Admin</t>
  </si>
  <si>
    <t xml:space="preserve">orders, auction_orders, order_cancellations, order_refunds, order_status_history, discount_codes, discount_code_usages, saga_state, idempotency_keys, outbox_messages</t>
  </si>
  <si>
    <t xml:space="preserve">Wallet refund (async, WAL-06); Fulfillment FUL-10 release (async)</t>
  </si>
  <si>
    <t xml:space="preserve">OrderCancelled; OrderRefundRequested (if was_paid)</t>
  </si>
  <si>
    <t xml:space="preserve">Idempotency-Key required; OrderCancellationSaga; UNIQUE order_cancellations per order</t>
  </si>
  <si>
    <t xml:space="preserve">Buyer: PAID normal order (not yet CONFIRMED) or PENDING_PAYMENT/PAID auction order; Support/Admin: PAID or CONFIRMED; reasonCode from frozen list; no cancel after SHIPPING.</t>
  </si>
  <si>
    <t xml:space="preserve">404 ORDER_NOT_FOUND, 409 ORDER_NOT_CANCELLABLE, 409 PAYMENT_IN_PROGRESS, 409 IDEMPOTENCY_KEY_CONFLICT</t>
  </si>
  <si>
    <t xml:space="preserve">ORD-18; ORD-19; DSC-04</t>
  </si>
  <si>
    <t xml:space="preserve">G05; G35</t>
  </si>
  <si>
    <t xml:space="preserve">ORD-07</t>
  </si>
  <si>
    <t xml:space="preserve">Confirm received / Buyer xác nhận đã nhận hàng</t>
  </si>
  <si>
    <t xml:space="preserve">POST /api/v1/orders/{orderId}/confirm-received?orderType=</t>
  </si>
  <si>
    <t xml:space="preserve">Behind a feature flag, default OFF: buyer early confirmation is OPEN (SRS COM-ORD-009, OQ-11). Two entry points exist (Fulfillment FUL-23, G08).</t>
  </si>
  <si>
    <t xml:space="preserve">COM-ORD-009</t>
  </si>
  <si>
    <t xml:space="preserve">ORDER.CONFIRM_RECEIVED (NEW) / Buyer</t>
  </si>
  <si>
    <t xml:space="preserve">OrderCompleted</t>
  </si>
  <si>
    <t xml:space="preserve">CAS DELIVERED -&gt; COMPLETED</t>
  </si>
  <si>
    <t xml:space="preserve">buyer_id = sub; status DELIVERED; COMPLETED opens rating (User) and triggers seller payout (Wallet) + invoice.</t>
  </si>
  <si>
    <t xml:space="preserve">G08</t>
  </si>
  <si>
    <t xml:space="preserve">ORD-08</t>
  </si>
  <si>
    <t xml:space="preserve">Auto-complete delivered orders / Job tự hoàn tất đơn</t>
  </si>
  <si>
    <t xml:space="preserve">mỗi giờ</t>
  </si>
  <si>
    <t xml:space="preserve">Interval hourly per Events spec 3.4. 'No open dispute' check has no data model.</t>
  </si>
  <si>
    <t xml:space="preserve">orders, auction_orders, system_settings</t>
  </si>
  <si>
    <t xml:space="preserve">OrderCompleted (SYSTEM)</t>
  </si>
  <si>
    <t xml:space="preserve">Batch 200, SKIP LOCKED, CAS</t>
  </si>
  <si>
    <t xml:space="preserve">DELIVERED older than ORDER_AUTO_COMPLETE_DAYS(7, proposed) -&gt; COMPLETED; both order tables.</t>
  </si>
  <si>
    <t xml:space="preserve">ORD-18; ORD-26</t>
  </si>
  <si>
    <t xml:space="preserve">G19</t>
  </si>
  <si>
    <t xml:space="preserve">ORD-09</t>
  </si>
  <si>
    <t xml:space="preserve">Seller response timeout / Job quá hạn seller phản hồi</t>
  </si>
  <si>
    <t xml:space="preserve">mỗi 1 phút</t>
  </si>
  <si>
    <t xml:space="preserve">COM-ORD-007; COM-CNL-002; COM-RFD-001; COM-AUC-007</t>
  </si>
  <si>
    <t xml:space="preserve">Wallet refund; Fulfillment release; User penalty (via events)</t>
  </si>
  <si>
    <t xml:space="preserve">OrderCancelled (SELLER_NO_RESPONSE, SYSTEM); OrderRefundRequested</t>
  </si>
  <si>
    <t xml:space="preserve">Every minute; batch + SKIP LOCKED; per-order saga</t>
  </si>
  <si>
    <t xml:space="preserve">status=PAID and seller_respond_deadline_at &lt; now -&gt; cancel + 100% refund.</t>
  </si>
  <si>
    <t xml:space="preserve">ORD-18; ORD-06</t>
  </si>
  <si>
    <t xml:space="preserve">ORD-10</t>
  </si>
  <si>
    <t xml:space="preserve">Handle shipment events / Nhận sự kiện vận chuyển</t>
  </si>
  <si>
    <t xml:space="preserve">shipment.*</t>
  </si>
  <si>
    <t xml:space="preserve">Per SRS 3.4.3 / OQ-11 and Events spec 2.5: ShipmentFailed / ShipmentReturned are NOT automated. Fulfillment FUL-17 emits only Delivered / DeliveryFailed (G07).</t>
  </si>
  <si>
    <t xml:space="preserve">COM-ORD-008; COM-AUC-007</t>
  </si>
  <si>
    <t xml:space="preserve">inbox_messages, orders, auction_orders, order_status_history, order_cancellations, order_refunds, outbox_messages</t>
  </si>
  <si>
    <t xml:space="preserve">Fulfillment shipment events</t>
  </si>
  <si>
    <t xml:space="preserve">OrderShipped; OrderDelivered</t>
  </si>
  <si>
    <t xml:space="preserve">ShipmentPickedUp; ShipmentInTransit; ShipmentDelivered; ShipmentFailed; ShipmentReturned</t>
  </si>
  <si>
    <t xml:space="preserve">Inbox; out-of-order tolerant (Delivered may arrive before InTransit)</t>
  </si>
  <si>
    <t xml:space="preserve">PickedUp -&gt; SHIPPING (shipped_at); InTransit -&gt; record only; Delivered -&gt; DELIVERED (2 history rows if from CONFIRMED); Failed / Returned -&gt; log + alert Support, no state change, no refund.</t>
  </si>
  <si>
    <t xml:space="preserve">ORD-18; ORD-24</t>
  </si>
  <si>
    <t xml:space="preserve">G07; G25</t>
  </si>
  <si>
    <t xml:space="preserve">ORD-11</t>
  </si>
  <si>
    <t xml:space="preserve">Admin list orders / Quản trị xem tất cả đơn</t>
  </si>
  <si>
    <t xml:space="preserve">GET /api/v1/admin/orders</t>
  </si>
  <si>
    <t xml:space="preserve">3.4.3.5</t>
  </si>
  <si>
    <t xml:space="preserve">COM-ORD-010</t>
  </si>
  <si>
    <t xml:space="preserve">ORDER.LIST / Admin, Support</t>
  </si>
  <si>
    <t xml:space="preserve">User batch lookup of buyer/seller names</t>
  </si>
  <si>
    <t xml:space="preserve">At least one filter or date range; range&lt;=1y; size&lt;=100; audit sensitive field access.</t>
  </si>
  <si>
    <t xml:space="preserve">ORD-12</t>
  </si>
  <si>
    <t xml:space="preserve">Admin update order status / Admin chỉnh trạng thái ngoại lệ</t>
  </si>
  <si>
    <t xml:space="preserve">PATCH /api/v1/admin/orders/{orderId}/status?orderType=</t>
  </si>
  <si>
    <t xml:space="preserve">COM-ORD-010; COM-ORD-011; COM-PLT-007</t>
  </si>
  <si>
    <t xml:space="preserve">ORDER.UPDATE_STATUS (NEW) / Admin</t>
  </si>
  <si>
    <t xml:space="preserve">Event Log (audit, via event)</t>
  </si>
  <si>
    <t xml:space="preserve">Event of target status (OrderDelivered / OrderCompleted ...)</t>
  </si>
  <si>
    <t xml:space="preserve">CAS via OrderStateMachine</t>
  </si>
  <si>
    <t xml:space="preserve">Forward whitelist only; never to CANCELLED, REFUNDED, PAID; reason &gt;= 10 chars; actor ADMIN.</t>
  </si>
  <si>
    <t xml:space="preserve">400 VALIDATION_ERROR, 409 INVALID_TRANSITION</t>
  </si>
  <si>
    <t xml:space="preserve">ORD-13</t>
  </si>
  <si>
    <t xml:space="preserve">Admin/Support refund / Hoàn tiền thủ công</t>
  </si>
  <si>
    <t xml:space="preserve">POST /api/v1/admin/orders/{orderId}/refund?orderType=</t>
  </si>
  <si>
    <t xml:space="preserve">3.4.2.4; 3.4.3.5; 3.4.3.7</t>
  </si>
  <si>
    <t xml:space="preserve">COM-RFD-001; COM-RFD-002; COM-RFD-005</t>
  </si>
  <si>
    <t xml:space="preserve">ORDER.REFUND / Admin, Support</t>
  </si>
  <si>
    <t xml:space="preserve">order_refunds, order_status_history, idempotency_keys, outbox_messages</t>
  </si>
  <si>
    <t xml:space="preserve">orders, auction_orders, order_cancellations</t>
  </si>
  <si>
    <t xml:space="preserve">Wallet refund (async)</t>
  </si>
  <si>
    <t xml:space="preserve">OrderRefundRequested</t>
  </si>
  <si>
    <t xml:space="preserve">Idempotency-Key required; unique active refund per order</t>
  </si>
  <si>
    <t xml:space="preserve">Status in DELIVERED | COMPLETED | CANCELLED(paid, not yet refunded); MVP full amount only; does not write order_cancellations.</t>
  </si>
  <si>
    <t xml:space="preserve">409 REFUND_NOT_ALLOWED, 409 REFUND_ALREADY_REQUESTED, 409 IDEMPOTENCY_KEY_CONFLICT</t>
  </si>
  <si>
    <t xml:space="preserve">ORD-19; ORD-18</t>
  </si>
  <si>
    <t xml:space="preserve">G05; G17</t>
  </si>
  <si>
    <t xml:space="preserve">ORD-14</t>
  </si>
  <si>
    <t xml:space="preserve">Handle refund result / Nhận kết quả hoàn tiền</t>
  </si>
  <si>
    <t xml:space="preserve">payment.refund.*</t>
  </si>
  <si>
    <t xml:space="preserve">Stop writing order_cancellations.refund_transaction_id (deprecated). Wallet emits WalletRefunded and has no failure event (G05).</t>
  </si>
  <si>
    <t xml:space="preserve">COM-RFD-003; COM-RFD-004</t>
  </si>
  <si>
    <t xml:space="preserve">inbox_messages, order_refunds, orders, auction_orders, order_status_history, outbox_messages</t>
  </si>
  <si>
    <t xml:space="preserve">order_refunds</t>
  </si>
  <si>
    <t xml:space="preserve">Wallet events</t>
  </si>
  <si>
    <t xml:space="preserve">OrderRefundCompleted</t>
  </si>
  <si>
    <t xml:space="preserve">RefundCompleted / RefundFailed (as written); WalletRefunded (Wallet WAL-06)</t>
  </si>
  <si>
    <t xml:space="preserve">Inbox; unique refund_transaction_id</t>
  </si>
  <si>
    <t xml:space="preserve">COMPLETED needs completed_at + refund_transaction_id (DB CHECK); order -&gt; REFUNDED; RefundFailed -&gt; FAILED + alert (no business event).</t>
  </si>
  <si>
    <t xml:space="preserve">ORD-15</t>
  </si>
  <si>
    <t xml:space="preserve">Invoice</t>
  </si>
  <si>
    <t xml:space="preserve">Generate invoice / Sinh hoá đơn</t>
  </si>
  <si>
    <t xml:space="preserve">Event consumer (OrderCompleted, nội bộ) + worker bất đồng bộ</t>
  </si>
  <si>
    <t xml:space="preserve">NOTI-10 does not list InvoiceGenerated, so the email would never be sent (G13).</t>
  </si>
  <si>
    <t xml:space="preserve">3.4.3.6</t>
  </si>
  <si>
    <t xml:space="preserve">COM-INV-001; COM-INV-002; COM-INV-003</t>
  </si>
  <si>
    <t xml:space="preserve">order_invoices, daily_order_sequences, outbox_messages</t>
  </si>
  <si>
    <t xml:space="preserve">Object Storage (PDF upload); Notification</t>
  </si>
  <si>
    <t xml:space="preserve">InvoiceGenerated (not in SRS 5.2, PROPOSED)</t>
  </si>
  <si>
    <t xml:space="preserve">OrderCompleted (internal)</t>
  </si>
  <si>
    <t xml:space="preserve">Unique invoice per order</t>
  </si>
  <si>
    <t xml:space="preserve">TX-1 inserts invoice (GENERATED, file_url NULL); worker renders PDF and updates file_url; retry, then FAILED + alert.</t>
  </si>
  <si>
    <t xml:space="preserve">ORD-17; ORD-20</t>
  </si>
  <si>
    <t xml:space="preserve">G13</t>
  </si>
  <si>
    <t xml:space="preserve">ORD-16</t>
  </si>
  <si>
    <t xml:space="preserve">Download invoice / Tải hoá đơn</t>
  </si>
  <si>
    <t xml:space="preserve">GET /api/v1/orders/{orderId}/invoice?orderType=</t>
  </si>
  <si>
    <t xml:space="preserve">COM-INV-002</t>
  </si>
  <si>
    <t xml:space="preserve">ORDER.INVOICE.VIEW (NEW) / Buyer (own), Seller (own), Admin, Support</t>
  </si>
  <si>
    <t xml:space="preserve">order_invoices, orders, auction_orders</t>
  </si>
  <si>
    <t xml:space="preserve">Object Storage presigned URL (TTL 5 min)</t>
  </si>
  <si>
    <t xml:space="preserve">Never returns raw file_url; 404 INVOICE_NOT_READY until file exists.</t>
  </si>
  <si>
    <t xml:space="preserve">404 ORDER_NOT_FOUND, 404 INVOICE_NOT_READY</t>
  </si>
  <si>
    <t xml:space="preserve">ORD-17</t>
  </si>
  <si>
    <t xml:space="preserve">Platform</t>
  </si>
  <si>
    <t xml:space="preserve">Generate order number / Sinh mã đơn</t>
  </si>
  <si>
    <t xml:space="preserve">SequenceService.next(seqType)</t>
  </si>
  <si>
    <t xml:space="preserve">3.4.3.1</t>
  </si>
  <si>
    <t xml:space="preserve">COM-ORD-001; COM-PLT-005</t>
  </si>
  <si>
    <t xml:space="preserve">daily_order_sequences</t>
  </si>
  <si>
    <t xml:space="preserve">INSERT ... ON CONFLICT DO UPDATE ... RETURNING (short autocommit TX, before business TX)</t>
  </si>
  <si>
    <t xml:space="preserve">ORD-/AOR-/INV-YYYYMMDD-NNNNNN; gaps allowed; day by SYSTEM_TIMEZONE (SRS default UTC).</t>
  </si>
  <si>
    <t xml:space="preserve">G21</t>
  </si>
  <si>
    <t xml:space="preserve">Order state machine / Kiểm soát chuyển trạng thái</t>
  </si>
  <si>
    <t xml:space="preserve">OrderStateMachine.transition(order, toStatus, actor, reason)</t>
  </si>
  <si>
    <t xml:space="preserve">3.4.3.2; 3.4.3.8</t>
  </si>
  <si>
    <t xml:space="preserve">COM-ORD-011; COM-PLT-007; COM-PLT-008</t>
  </si>
  <si>
    <t xml:space="preserve">orders, auction_orders, order_status_history</t>
  </si>
  <si>
    <t xml:space="preserve">Event of target status (through outbox)</t>
  </si>
  <si>
    <t xml:space="preserve">CAS: UPDATE ... WHERE status=:from AND row_version=:v</t>
  </si>
  <si>
    <t xml:space="preserve">Every status change passes here; validates (from,to,actor); sets paid_at / shipped_at ... ; writes history with order_id XOR auction_order_id.</t>
  </si>
  <si>
    <t xml:space="preserve">409 INVALID_TRANSITION, 409 ORDER_STATE_CONFLICT</t>
  </si>
  <si>
    <t xml:space="preserve">ORD-20</t>
  </si>
  <si>
    <t xml:space="preserve">ORD-19</t>
  </si>
  <si>
    <t xml:space="preserve">Idempotency handling / Xử lý idempotency</t>
  </si>
  <si>
    <t xml:space="preserve">IdempotencyFilter (header Idempotency-Key)</t>
  </si>
  <si>
    <t xml:space="preserve">3.4.3.7</t>
  </si>
  <si>
    <t xml:space="preserve">COM-PLT-001</t>
  </si>
  <si>
    <t xml:space="preserve">idempotency_keys</t>
  </si>
  <si>
    <t xml:space="preserve">PK (key, scope); request_hash = SHA-256(body); TTL 24h</t>
  </si>
  <si>
    <t xml:space="preserve">Missing key 400; same key + other hash 422; in-progress 409; response replayed; job cleans expired keys.</t>
  </si>
  <si>
    <t xml:space="preserve">400 VAL_IDEMPOTENCY_KEY_REQUIRED, 409 IDEMPOTENCY_KEY_CONFLICT, 409 REQUEST_IN_PROGRESS</t>
  </si>
  <si>
    <t xml:space="preserve">Outbox publisher / Phát event từ outbox</t>
  </si>
  <si>
    <t xml:space="preserve">mỗi ~1s</t>
  </si>
  <si>
    <t xml:space="preserve">Broker technology (Kafka vs RabbitMQ) undecided in Commerce sheet; other services use RabbitMQ.</t>
  </si>
  <si>
    <t xml:space="preserve">2.8; 5.2</t>
  </si>
  <si>
    <t xml:space="preserve">COM-PLT-002; COM-PLT-009</t>
  </si>
  <si>
    <t xml:space="preserve">outbox_messages</t>
  </si>
  <si>
    <t xml:space="preserve">Message broker</t>
  </si>
  <si>
    <t xml:space="preserve">All events (id = event_id)</t>
  </si>
  <si>
    <t xml:space="preserve">FOR UPDATE SKIP LOCKED; key = aggregate_id; one active publisher or partitioned by hash</t>
  </si>
  <si>
    <t xml:space="preserve">PENDING -&gt; PUBLISHED | FAILED | DEAD; broker down never blocks business TX; purge PUBLISHED &gt; 7 days.</t>
  </si>
  <si>
    <t xml:space="preserve">G24</t>
  </si>
  <si>
    <t xml:space="preserve">ORD-21</t>
  </si>
  <si>
    <t xml:space="preserve">Saga recovery / Job phục hồi saga treo</t>
  </si>
  <si>
    <t xml:space="preserve">mỗi 2 phút</t>
  </si>
  <si>
    <t xml:space="preserve">3.4.3.8</t>
  </si>
  <si>
    <t xml:space="preserve">COM-PLT-004</t>
  </si>
  <si>
    <t xml:space="preserve">saga_state, idempotency_keys, checkout_groups, orders, outbox_messages</t>
  </si>
  <si>
    <t xml:space="preserve">saga_state, checkout_groups, orders</t>
  </si>
  <si>
    <t xml:space="preserve">Wallet payment status; Fulfillment reservation status (both undefined endpoints)</t>
  </si>
  <si>
    <t xml:space="preserve">OrderPaid / OrderCancelled / CheckoutExpired (outcome dependent)</t>
  </si>
  <si>
    <t xml:space="preserve">One TX per saga; CAS row_version</t>
  </si>
  <si>
    <t xml:space="preserve">Non-terminal saga with updated_at older than 5 min is recovered; also finalizes idempotency_keys left with NULL response.</t>
  </si>
  <si>
    <t xml:space="preserve">G05; G26</t>
  </si>
  <si>
    <t xml:space="preserve">ORD-22</t>
  </si>
  <si>
    <t xml:space="preserve">Handle inventory events / Nhận sự kiện tồn kho</t>
  </si>
  <si>
    <t xml:space="preserve">inventory.*</t>
  </si>
  <si>
    <t xml:space="preserve">Fulfillment FUL-11 emits InventoryReleased on expiry, not InventoryReservationExpired (SRS 2.8 name). Align.</t>
  </si>
  <si>
    <t xml:space="preserve">3.6.1.4 (integration)</t>
  </si>
  <si>
    <t xml:space="preserve">COM-CHK-008; COM-CNL-003</t>
  </si>
  <si>
    <t xml:space="preserve">inbox_messages, order_cancellations, checkout_groups, orders, order_status_history, discount_code_usages, discount_codes, outbox_messages</t>
  </si>
  <si>
    <t xml:space="preserve">Fulfillment events</t>
  </si>
  <si>
    <t xml:space="preserve">OrderCancelled (PAYMENT_TIMEOUT, SYSTEM)</t>
  </si>
  <si>
    <t xml:space="preserve">InventoryReleased; InventoryReservationExpired</t>
  </si>
  <si>
    <t xml:space="preserve">Inbox</t>
  </si>
  <si>
    <t xml:space="preserve">InventoryReleased sets inventory_released=true; InventoryReservationExpired is a safety net: cancels only groups still PENDING_PAYMENT, ignored + alert if already PAID.</t>
  </si>
  <si>
    <t xml:space="preserve">G06</t>
  </si>
  <si>
    <t xml:space="preserve">ORD-23</t>
  </si>
  <si>
    <t xml:space="preserve">Rating eligibility check / Kiểm tra đủ điều kiện đánh giá</t>
  </si>
  <si>
    <t xml:space="preserve">Internal API</t>
  </si>
  <si>
    <t xml:space="preserve">GET /internal/v1/orders/{orderId}/rating-eligibility?userId=&amp;productId=</t>
  </si>
  <si>
    <t xml:space="preserve">From notes in Functions.xlsx (rows 186-189): internal API for Catalog product reviews and User peer reviews. GET /internal/v1/orders/{orderId}/rating-eligibility?userId=&amp;productId=</t>
  </si>
  <si>
    <t xml:space="preserve">3.1.2.1 (rating after completed order)</t>
  </si>
  <si>
    <t xml:space="preserve">COM-ORD-013</t>
  </si>
  <si>
    <t xml:space="preserve">System (service-to-service)</t>
  </si>
  <si>
    <t xml:space="preserve">Called by Catalog (CAT-26/27) and User (REVIEW-01)</t>
  </si>
  <si>
    <t xml:space="preserve">eligible only when order COMPLETED and buyer_id = userId; containsProduct from order_items (many qty = one review); seller check for peer review.</t>
  </si>
  <si>
    <t xml:space="preserve">Inbox retry worker / Job thử lại inbox</t>
  </si>
  <si>
    <t xml:space="preserve">Scheduled - every 1 min</t>
  </si>
  <si>
    <t xml:space="preserve">PROPOSED. DB has idx_inbox_retry but no function retries RECEIVED/FAILED inbox rows.</t>
  </si>
  <si>
    <t xml:space="preserve">5.2; 5.3</t>
  </si>
  <si>
    <t xml:space="preserve">COM-PLT-010; COM-PLT-003</t>
  </si>
  <si>
    <t xml:space="preserve">inbox_messages</t>
  </si>
  <si>
    <t xml:space="preserve">SKIP LOCKED; retry_count with backoff</t>
  </si>
  <si>
    <t xml:space="preserve">Retry RECEIVED/FAILED rows; above threshold keep FAILED and alert (dead letter).</t>
  </si>
  <si>
    <t xml:space="preserve">ORD-25</t>
  </si>
  <si>
    <t xml:space="preserve">Refund reconciliation alert / Cảnh báo đối soát refund</t>
  </si>
  <si>
    <t xml:space="preserve">Scheduled - every 10 min</t>
  </si>
  <si>
    <t xml:space="preserve">PROPOSED. DB has idx_order_refunds_pending for Support reconciliation but no function uses it.</t>
  </si>
  <si>
    <t xml:space="preserve">COM-RFD-006; COM-RFD-004</t>
  </si>
  <si>
    <t xml:space="preserve">Notification / alerting</t>
  </si>
  <si>
    <t xml:space="preserve">(alert only)</t>
  </si>
  <si>
    <t xml:space="preserve">Read-mostly job</t>
  </si>
  <si>
    <t xml:space="preserve">Alert when refund stays REQUESTED too long or is FAILED; threshold from config.</t>
  </si>
  <si>
    <t xml:space="preserve">Settings provider / Đọc cấu hình hệ thống</t>
  </si>
  <si>
    <t xml:space="preserve">SettingsProvider.Get&lt;T&gt;(key)</t>
  </si>
  <si>
    <t xml:space="preserve">PROPOSED internal SettingsProvider: reads system_settings, caches, refreshes on SystemConfigUpdated.</t>
  </si>
  <si>
    <t xml:space="preserve">2.6; 2.8 (SystemConfigUpdated)</t>
  </si>
  <si>
    <t xml:space="preserve">COM-PLT-006</t>
  </si>
  <si>
    <t xml:space="preserve">SystemConfigUpdated</t>
  </si>
  <si>
    <t xml:space="preserve">Cache with refresh</t>
  </si>
  <si>
    <t xml:space="preserve">Typed by value_type; missing key falls back to default and logs; seed has 7 keys only.</t>
  </si>
  <si>
    <t xml:space="preserve">G20</t>
  </si>
  <si>
    <t xml:space="preserve">AO-01</t>
  </si>
  <si>
    <t xml:space="preserve">Auction Order</t>
  </si>
  <si>
    <t xml:space="preserve">Create auction order from settlement / Tạo đơn đấu giá</t>
  </si>
  <si>
    <t xml:space="preserve">Consumer - AuctionSettled (AuctionWon ignored)</t>
  </si>
  <si>
    <t xml:space="preserve">Events spec v2.1 [AGREED Auction 2026-10-27]: consume AuctionSettled (emitted when the winner is determined, BEFORE payment). AuctionWon is ignored (Notification only). Auction sheet AUC-26 / AUC-31 in Functions.xlsx is superseded (Auction still to confirm OQ-22).</t>
  </si>
  <si>
    <t xml:space="preserve">3.5.3.4; 3.4.3.1; 3.4.3.8</t>
  </si>
  <si>
    <t xml:space="preserve">COM-AUC-001; COM-AUC-002; COM-AUC-003; COM-ORD-001; COM-AUC-008</t>
  </si>
  <si>
    <t xml:space="preserve">inbox_messages, auction_orders, daily_order_sequences, order_status_history, outbox_messages</t>
  </si>
  <si>
    <t xml:space="preserve">Catalog CAT-24 (image/attributes snapshot); User (optional validation)</t>
  </si>
  <si>
    <t xml:space="preserve">OrderCreated (orderType=AUCTION)</t>
  </si>
  <si>
    <t xml:space="preserve">AuctionSettled</t>
  </si>
  <si>
    <t xml:space="preserve">Inbox (message_id, consumer) + UNIQUE(auction_id): duplicate returns the same orderId</t>
  </si>
  <si>
    <t xml:space="preserve">Required: auctionId, buyerId, sellerId, productId, skuId, winningBidId, finalPriceAmount, determinedAt, paymentDeadlineAt. Missing -&gt; reject: inbox FAILED + AUCTION_SETTLED_INVALID_PAYLOAD, NO fallback. payment_deadline_at = event value as-is. winning_amount &gt; 0. platform_fee via AUCTION_PLATFORM_FEE_PERCENT (OQ-06). shipping_fee/total NULL until AO-02. FEATURE_AUCTION_ENABLED=false stops consuming.</t>
  </si>
  <si>
    <t xml:space="preserve">ORD-17; ORD-18; ORD-26</t>
  </si>
  <si>
    <t xml:space="preserve">G20; G33</t>
  </si>
  <si>
    <t xml:space="preserve">AO-02</t>
  </si>
  <si>
    <t xml:space="preserve">Submit shipping info &amp; get quote / Nhập địa chỉ và báo giá ship</t>
  </si>
  <si>
    <t xml:space="preserve">PUT /api/v1/auction-orders/{auctionOrderId}/shipping</t>
  </si>
  <si>
    <t xml:space="preserve">Events spec v2.1 [AGREED Auction 2026-10-27]: Commerce does NOT call Auction.CheckPaymentDeadline; deadline checked locally against payment_deadline_at.</t>
  </si>
  <si>
    <t xml:space="preserve">3.5.3.4</t>
  </si>
  <si>
    <t xml:space="preserve">COM-AUC-004; COM-AUC-005; COM-PAY-005</t>
  </si>
  <si>
    <t xml:space="preserve">AUCTION.VIEW + ORDER.UPDATE (NEW) / Buyer (winner)</t>
  </si>
  <si>
    <t xml:space="preserve">auction_orders</t>
  </si>
  <si>
    <t xml:space="preserve">Fulfillment FUL-12 (shipping quote)</t>
  </si>
  <si>
    <t xml:space="preserve">Optimistic lock row_version; can be resubmitted until paid</t>
  </si>
  <si>
    <t xml:space="preserve">status PENDING_PAYMENT and now &lt; payment_deadline_at (exact to the second, no job needed) else 410 DEADLINE_EXPIRED; total = winning_amount + shipping_fee (DB CHECK); no address change after PAID.</t>
  </si>
  <si>
    <t xml:space="preserve">409 ORDER_STATE_CONFLICT, 410 DEADLINE_EXPIRED, 503 SHIPPING_QUOTE_UNAVAILABLE</t>
  </si>
  <si>
    <t xml:space="preserve">AO-03</t>
  </si>
  <si>
    <t xml:space="preserve">Pay auction order / Thanh toán đơn đấu giá</t>
  </si>
  <si>
    <t xml:space="preserve">POST /api/v1/auction-orders/{auctionOrderId}/pay</t>
  </si>
  <si>
    <t xml:space="preserve">Events spec v2.1 [AGREED Auction 2026-10-27]: no Auction call. Payment through Wallet (see CHK-03). auction_orders has no payment_attempt_count (G16).</t>
  </si>
  <si>
    <t xml:space="preserve">COM-PAY-005; COM-PAY-001</t>
  </si>
  <si>
    <t xml:space="preserve">CHECKOUT.PAY (NEW) / Buyer (winner)</t>
  </si>
  <si>
    <t xml:space="preserve">auction_orders, idempotency_keys</t>
  </si>
  <si>
    <t xml:space="preserve">Wallet WAL-05A / WAL-05B</t>
  </si>
  <si>
    <t xml:space="preserve">OrderCheckoutRequested (WALLET)</t>
  </si>
  <si>
    <t xml:space="preserve">Idempotency-Key required</t>
  </si>
  <si>
    <t xml:space="preserve">Needs shipping_fee_amount and total_amount (else 409 SHIPPING_INFO_REQUIRED); blocked exactly at payment_deadline_at (410 DEADLINE_EXPIRED); PAID only through PAY-01.</t>
  </si>
  <si>
    <t xml:space="preserve">409 SHIPPING_INFO_REQUIRED, 409 ORDER_STATE_CONFLICT, 410 DEADLINE_EXPIRED, 402 INSUFFICIENT_WALLET_BALANCE</t>
  </si>
  <si>
    <t xml:space="preserve">AO-02; PAY-01; ORD-19</t>
  </si>
  <si>
    <t xml:space="preserve">G05; G16</t>
  </si>
  <si>
    <t xml:space="preserve">AO-04</t>
  </si>
  <si>
    <t xml:space="preserve">Auction payment timeout job / Job quá hạn thanh toán đơn đấu giá</t>
  </si>
  <si>
    <t xml:space="preserve">Events spec v2.1 [AGREED Auction 2026-10-27] (job AUC-PAY) + SRS COM-AUC-006 / OQ-01: Commerce enforces the deadline by a scan job. No AuctionOrderPaymentExpired event; Auction does not set its own timer.</t>
  </si>
  <si>
    <t xml:space="preserve">3.5.3.5</t>
  </si>
  <si>
    <t xml:space="preserve">COM-AUC-006</t>
  </si>
  <si>
    <t xml:space="preserve">auction_orders, order_cancellations, order_status_history, outbox_messages</t>
  </si>
  <si>
    <t xml:space="preserve">OrderCancelled (PAYMENT_TIMEOUT, SYSTEM, wasPaid=false)</t>
  </si>
  <si>
    <t xml:space="preserve">SKIP LOCKED batch; every 1 min (PROPOSED, OQ-19)</t>
  </si>
  <si>
    <t xml:space="preserve">auction_orders.status=PENDING_PAYMENT and payment_deadline_at &lt; now -&gt; CAS CANCELLED + order_cancellations(PAYMENT_TIMEOUT, SYSTEM, was_paid=false) + history + OrderCancelled. Penalty is decided by User/Auction (OQ-03), not by Commerce.</t>
  </si>
  <si>
    <t xml:space="preserve">AO-01; ORD-18</t>
  </si>
  <si>
    <t xml:space="preserve">G04</t>
  </si>
  <si>
    <t xml:space="preserve">AO-05</t>
  </si>
  <si>
    <t xml:space="preserve">Handle AuctionCancelled / Xử lý AuctionCancelled</t>
  </si>
  <si>
    <t xml:space="preserve">Consumer - AuctionCancelled</t>
  </si>
  <si>
    <t xml:space="preserve">Events spec v2.1 [AGREED Auction 2026-10-27]: a session is not cancelled after AuctionSettled. If AuctionCancelled still arrives for a session that already has an order: log + alert Support only. Replaces the earlier AuctionFailed consumer (Commerce does not listen to AuctionFailed).</t>
  </si>
  <si>
    <t xml:space="preserve">COM-AUC-009</t>
  </si>
  <si>
    <t xml:space="preserve">AuctionCancelled</t>
  </si>
  <si>
    <t xml:space="preserve">Inbox; never changes order state</t>
  </si>
  <si>
    <t xml:space="preserve">No order for the auction: ignore. Order exists: log + alert Support, no state change, no refund.</t>
  </si>
  <si>
    <t xml:space="preserve">G33</t>
  </si>
  <si>
    <t xml:space="preserve">COM requirement</t>
  </si>
  <si>
    <t xml:space="preserve">Requirement (short)</t>
  </si>
  <si>
    <t xml:space="preserve">System SRS section</t>
  </si>
  <si>
    <t xml:space="preserve">MoSCoW</t>
  </si>
  <si>
    <t xml:space="preserve">Backlog IDs</t>
  </si>
  <si>
    <t xml:space="preserve"># Functions</t>
  </si>
  <si>
    <t xml:space="preserve">API / trigger</t>
  </si>
  <si>
    <t xml:space="preserve">DB tables</t>
  </si>
  <si>
    <t xml:space="preserve">Events</t>
  </si>
  <si>
    <t xml:space="preserve">Coverage</t>
  </si>
  <si>
    <t xml:space="preserve">Open gaps</t>
  </si>
  <si>
    <t xml:space="preserve">COM-CART-001</t>
  </si>
  <si>
    <t xml:space="preserve">Cart lifecycle: 1 ACTIVE cart per buyer, lazy create</t>
  </si>
  <si>
    <t xml:space="preserve">Must</t>
  </si>
  <si>
    <t xml:space="preserve">CART-01, CART-02</t>
  </si>
  <si>
    <t xml:space="preserve">CART-01: GET /api/v1/carts/me; CART-02: POST /api/v1/carts/me/items</t>
  </si>
  <si>
    <t xml:space="preserve">cart_items, carts, checkout_groups, outbox_messages, system_settings</t>
  </si>
  <si>
    <t xml:space="preserve">Catalog CAT-39; Catalog CAT-39 / CAT-24</t>
  </si>
  <si>
    <t xml:space="preserve">COM-CART-002</t>
  </si>
  <si>
    <t xml:space="preserve">Add item (merge by sku, limits 99/50, no own/auction product)</t>
  </si>
  <si>
    <t xml:space="preserve">CART-02: POST /api/v1/carts/me/items</t>
  </si>
  <si>
    <t xml:space="preserve">Catalog CAT-39</t>
  </si>
  <si>
    <t xml:space="preserve">Update item quantity</t>
  </si>
  <si>
    <t xml:space="preserve">CART-03: PATCH /api/v1/carts/me/items/{cartItemId}</t>
  </si>
  <si>
    <t xml:space="preserve">cart_items, carts, checkout_groups, outbox_messages</t>
  </si>
  <si>
    <t xml:space="preserve">Remove item(s)</t>
  </si>
  <si>
    <t xml:space="preserve">CART-04, CART-05</t>
  </si>
  <si>
    <t xml:space="preserve">CART-04: DELETE /api/v1/carts/me/items/{cartItemId}; CART-05: POST /api/v1/carts/me/items:bulk-remove</t>
  </si>
  <si>
    <t xml:space="preserve">CartItemRemoved; CartItemRemoved (1 event per batch)</t>
  </si>
  <si>
    <t xml:space="preserve">View cart and pricing estimate</t>
  </si>
  <si>
    <t xml:space="preserve">CART-01, CART-07, CART-08</t>
  </si>
  <si>
    <t xml:space="preserve">CART-01: GET /api/v1/carts/me; CART-07: PricingService.calculate(items, address?, vouchers?); CART-08: GET /api/v1/carts/me/summary</t>
  </si>
  <si>
    <t xml:space="preserve">cart_items, carts, system_settings</t>
  </si>
  <si>
    <t xml:space="preserve">Catalog CAT-39 / CAT-24; DSC-02</t>
  </si>
  <si>
    <t xml:space="preserve">G09; G20; G23</t>
  </si>
  <si>
    <t xml:space="preserve">Validate cart before checkout</t>
  </si>
  <si>
    <t xml:space="preserve">CART-06: POST /api/v1/carts/me/validate (+ internal CartValidator dùn</t>
  </si>
  <si>
    <t xml:space="preserve">cart_items, carts</t>
  </si>
  <si>
    <t xml:space="preserve">Catalog CAT-39 / CAT-24</t>
  </si>
  <si>
    <t xml:space="preserve">Cart expiry job (ABANDONED)</t>
  </si>
  <si>
    <t xml:space="preserve">Should</t>
  </si>
  <si>
    <t xml:space="preserve">CART-09: chạy mỗi giờ (@Scheduled + ShedLock)</t>
  </si>
  <si>
    <t xml:space="preserve">carts, checkout_groups, outbox_messages, system_settings</t>
  </si>
  <si>
    <t xml:space="preserve">COM-CART-008</t>
  </si>
  <si>
    <t xml:space="preserve">Cleanup by Catalog/User events</t>
  </si>
  <si>
    <t xml:space="preserve">CART-11: topics: catalog.*, user.*</t>
  </si>
  <si>
    <t xml:space="preserve">cart_items, carts, inbox_messages</t>
  </si>
  <si>
    <t xml:space="preserve">Guest cart / merge on login (OPEN OQ-04)</t>
  </si>
  <si>
    <t xml:space="preserve">Could</t>
  </si>
  <si>
    <t xml:space="preserve">CART-10: POST /api/v1/carts/me/merge</t>
  </si>
  <si>
    <t xml:space="preserve">cart_items, carts, outbox_messages, system_settings</t>
  </si>
  <si>
    <t xml:space="preserve">COM-CHK-001</t>
  </si>
  <si>
    <t xml:space="preserve">Start checkout (preview + create)</t>
  </si>
  <si>
    <t xml:space="preserve">3.4.2.1</t>
  </si>
  <si>
    <t xml:space="preserve">CHK-01, CHK-02</t>
  </si>
  <si>
    <t xml:space="preserve">CHK-01: POST /api/v1/checkout/preview; CHK-02: POST /api/v1/checkout</t>
  </si>
  <si>
    <t xml:space="preserve">cart_items, carts, checkout_groups, daily_order_sequences, discount_code_scopes, discount_code_usages, discount_codes, idempotency_keys, order_items, order_status_history, orders, outbox_messages, saga_state, system_settings</t>
  </si>
  <si>
    <t xml:space="preserve">CheckoutStarted; InventoryReserved (Fulfillment, async variant); OrderCreated (per order)</t>
  </si>
  <si>
    <t xml:space="preserve">Catalog CAT-39; Catalog CAT-39/24; Fulfillment FUL-12 shipping quote</t>
  </si>
  <si>
    <t xml:space="preserve">G05; G06; G09; G11</t>
  </si>
  <si>
    <t xml:space="preserve">COM-CHK-002</t>
  </si>
  <si>
    <t xml:space="preserve">Split orders per seller</t>
  </si>
  <si>
    <t xml:space="preserve">CHK-02: POST /api/v1/checkout</t>
  </si>
  <si>
    <t xml:space="preserve">cart_items, carts, checkout_groups, daily_order_sequences, discount_code_usages, discount_codes, idempotency_keys, order_items, order_status_history, orders, outbox_messages, saga_state, system_settings</t>
  </si>
  <si>
    <t xml:space="preserve">COM-CHK-003</t>
  </si>
  <si>
    <t xml:space="preserve">Per-order pricing + invariant</t>
  </si>
  <si>
    <t xml:space="preserve">CART-07, CHK-01, CHK-02</t>
  </si>
  <si>
    <t xml:space="preserve">CART-07: PricingService.calculate(items, address?, vouchers?); CHK-01: POST /api/v1/checkout/preview; CHK-02: POST /api/v1/checkout</t>
  </si>
  <si>
    <t xml:space="preserve">Catalog CAT-39; Catalog CAT-39/24; Fulfillment FUL-12 shipping quote; DSC-02</t>
  </si>
  <si>
    <t xml:space="preserve">G05; G06; G09; G11; G20; G23</t>
  </si>
  <si>
    <t xml:space="preserve">COM-CHK-004</t>
  </si>
  <si>
    <t xml:space="preserve">Shipping fee quote</t>
  </si>
  <si>
    <t xml:space="preserve">CHK-01: POST /api/v1/checkout/preview</t>
  </si>
  <si>
    <t xml:space="preserve">cart_items, carts, discount_code_scopes, discount_code_usages, discount_codes, system_settings</t>
  </si>
  <si>
    <t xml:space="preserve">Catalog CAT-39/24; Fulfillment FUL-12 shipping quote</t>
  </si>
  <si>
    <t xml:space="preserve">COM-CHK-005</t>
  </si>
  <si>
    <t xml:space="preserve">Persist group + orders in one TX</t>
  </si>
  <si>
    <t xml:space="preserve">COM-CHK-006</t>
  </si>
  <si>
    <t xml:space="preserve">Reserve voucher and inventory</t>
  </si>
  <si>
    <t xml:space="preserve">COM-CHK-007</t>
  </si>
  <si>
    <t xml:space="preserve">Block parallel checkout per cart</t>
  </si>
  <si>
    <t xml:space="preserve">Checkout expiry job</t>
  </si>
  <si>
    <t xml:space="preserve">CHK-06, ORD-22</t>
  </si>
  <si>
    <t xml:space="preserve">CHK-06: mỗi 1 phút (+ consumer InventoryReservationExpired làm lưới ; ORD-22: inventory.*</t>
  </si>
  <si>
    <t xml:space="preserve">checkout_groups, discount_code_usages, discount_codes, inbox_messages, order_cancellations, order_status_history, orders, outbox_messages, saga_state</t>
  </si>
  <si>
    <t xml:space="preserve">CheckoutExpired; InventoryReleased; InventoryReservationExpired; OrderCancelled (PAYMENT_TIMEOUT, SYSTEM)</t>
  </si>
  <si>
    <t xml:space="preserve">Fulfillment events; Wallet payment status by referenceIds</t>
  </si>
  <si>
    <t xml:space="preserve">G05; G06</t>
  </si>
  <si>
    <t xml:space="preserve">Checkout group view / history</t>
  </si>
  <si>
    <t xml:space="preserve">3.4.2.3</t>
  </si>
  <si>
    <t xml:space="preserve">CHK-04: GET /api/v1/checkout-groups/{checkoutGroupId}</t>
  </si>
  <si>
    <t xml:space="preserve">COM-CHK-010</t>
  </si>
  <si>
    <t xml:space="preserve">Buyer cancels unpaid checkout (PROPOSED)</t>
  </si>
  <si>
    <t xml:space="preserve">CHK-05: POST /api/v1/checkout-groups/{checkoutGroupId}/cancel</t>
  </si>
  <si>
    <t xml:space="preserve">checkout_groups, discount_code_usages, discount_codes, order_cancellations, order_status_history, orders, outbox_messages, saga_state</t>
  </si>
  <si>
    <t xml:space="preserve">CheckoutCancelled; OrderCancelled (per order)</t>
  </si>
  <si>
    <t xml:space="preserve">Wallet</t>
  </si>
  <si>
    <t xml:space="preserve">Initiate payment for group / auction order</t>
  </si>
  <si>
    <t xml:space="preserve">CHK-03, AO-03</t>
  </si>
  <si>
    <t xml:space="preserve">CHK-03: POST /api/v1/checkout-groups/{checkoutGroupId}/pay; AO-03: POST /api/v1/auction-orders/{auctionOrderId}/pay</t>
  </si>
  <si>
    <t xml:space="preserve">auction_orders, checkout_groups, idempotency_keys, orders, outbox_messages, saga_state</t>
  </si>
  <si>
    <t xml:space="preserve">OrderCheckoutRequested (WALLET path, per WAL-05A); OrderCheckoutRequested (WALLET)</t>
  </si>
  <si>
    <t xml:space="preserve">Wallet WAL-05A; Wallet WAL-05A / WAL-05B</t>
  </si>
  <si>
    <t xml:space="preserve">COM-PAY-002</t>
  </si>
  <si>
    <t xml:space="preserve">Payment success handling</t>
  </si>
  <si>
    <t xml:space="preserve">3.4.3.7; 3.4.3.8</t>
  </si>
  <si>
    <t xml:space="preserve">PAY-01: PaymentSucceeded | PaymentFailed | PaymentExpired (event do </t>
  </si>
  <si>
    <t xml:space="preserve">auction_orders, cart_items, carts, checkout_groups, discount_code_usages, discount_codes, inbox_messages, order_items, order_refunds, order_status_history, orders, outbox_messages, saga_state</t>
  </si>
  <si>
    <t xml:space="preserve">CheckoutCompleted (not in SRS 5.2); OrderPaid (per order); OrderPaymentFailed; OrderRefundRequested (late/mismatch); PaymentSucceeded / PaymentFailed / PaymentExpired (as written); WalletDebitedSuccess / WalletDebitFailed (target)</t>
  </si>
  <si>
    <t xml:space="preserve">COM-PAY-003</t>
  </si>
  <si>
    <t xml:space="preserve">Payment failure / retry limit</t>
  </si>
  <si>
    <t xml:space="preserve">COM-PAY-004</t>
  </si>
  <si>
    <t xml:space="preserve">Late or mismatched payment -&gt; refund</t>
  </si>
  <si>
    <t xml:space="preserve">COM-PAY-005</t>
  </si>
  <si>
    <t xml:space="preserve">Auction order payment preconditions</t>
  </si>
  <si>
    <t xml:space="preserve">AO-02, AO-03</t>
  </si>
  <si>
    <t xml:space="preserve">AO-02: PUT /api/v1/auction-orders/{auctionOrderId}/shipping; AO-03: POST /api/v1/auction-orders/{auctionOrderId}/pay</t>
  </si>
  <si>
    <t xml:space="preserve">Fulfillment FUL-12; Wallet WAL-05A / WAL-05B</t>
  </si>
  <si>
    <t xml:space="preserve">COM-ORD-001</t>
  </si>
  <si>
    <t xml:space="preserve">Order creation + order number</t>
  </si>
  <si>
    <t xml:space="preserve">CHK-02, ORD-17, AO-01</t>
  </si>
  <si>
    <t xml:space="preserve">CHK-02: POST /api/v1/checkout; ORD-17: SequenceService.next(seqType); AO-01: Consumer - AuctionSettled (AuctionWon ignored)</t>
  </si>
  <si>
    <t xml:space="preserve">auction_orders, cart_items, carts, checkout_groups, daily_order_sequences, discount_code_usages, discount_codes, idempotency_keys, inbox_messages, order_items, order_status_history, orders, outbox_messages, saga_state, system_settings</t>
  </si>
  <si>
    <t xml:space="preserve">AuctionSettled; CheckoutStarted; InventoryReserved (Fulfillment, async variant); OrderCreated (orderType=AUCTION); OrderCreated (per order)</t>
  </si>
  <si>
    <t xml:space="preserve">Catalog CAT-24; Catalog CAT-39</t>
  </si>
  <si>
    <t xml:space="preserve">G06; G11; G20; G21; G33</t>
  </si>
  <si>
    <t xml:space="preserve">COM-ORD-002</t>
  </si>
  <si>
    <t xml:space="preserve">Buyer order list</t>
  </si>
  <si>
    <t xml:space="preserve">ORD-01: GET /api/v1/orders</t>
  </si>
  <si>
    <t xml:space="preserve">auction_orders, order_items, orders</t>
  </si>
  <si>
    <t xml:space="preserve">User batch lookup of seller name</t>
  </si>
  <si>
    <t xml:space="preserve">Order detail + status history</t>
  </si>
  <si>
    <t xml:space="preserve">ORD-02: GET /api/v1/orders/{orderId}?orderType=REGULAR|AUCTION</t>
  </si>
  <si>
    <t xml:space="preserve">auction_orders, order_cancellations, order_invoices, order_items, order_refunds, order_status_history, orders</t>
  </si>
  <si>
    <t xml:space="preserve">Fulfillment FUL-18/19/20</t>
  </si>
  <si>
    <t xml:space="preserve">Seller order list (paid only)</t>
  </si>
  <si>
    <t xml:space="preserve">ORD-03: GET /api/v1/seller/orders</t>
  </si>
  <si>
    <t xml:space="preserve">auction_orders, orders</t>
  </si>
  <si>
    <t xml:space="preserve">COM-ORD-005</t>
  </si>
  <si>
    <t xml:space="preserve">Seller accepts order</t>
  </si>
  <si>
    <t xml:space="preserve">ORD-04: POST /api/v1/seller/orders/{orderId}/accept?orderType=</t>
  </si>
  <si>
    <t xml:space="preserve">auction_orders, order_status_history, orders, outbox_messages</t>
  </si>
  <si>
    <t xml:space="preserve">Fulfillment creates shipment asynchronously on OrderConfirme</t>
  </si>
  <si>
    <t xml:space="preserve">COM-ORD-006</t>
  </si>
  <si>
    <t xml:space="preserve">Seller rejects order (PROPOSED)</t>
  </si>
  <si>
    <t xml:space="preserve">ORD-05: POST /api/v1/seller/orders/{orderId}/reject?orderType=</t>
  </si>
  <si>
    <t xml:space="preserve">auction_orders, discount_code_usages, discount_codes, order_cancellations, order_refunds, order_status_history, orders, outbox_messages, saga_state</t>
  </si>
  <si>
    <t xml:space="preserve">Wallet refund via OrderRefundRequested; Fulfillment release </t>
  </si>
  <si>
    <t xml:space="preserve">COM-ORD-007</t>
  </si>
  <si>
    <t xml:space="preserve">Seller response timeout job</t>
  </si>
  <si>
    <t xml:space="preserve">ORD-09: mỗi 1 phút</t>
  </si>
  <si>
    <t xml:space="preserve">Wallet refund; Fulfillment release; User penalty</t>
  </si>
  <si>
    <t xml:space="preserve">COM-ORD-008</t>
  </si>
  <si>
    <t xml:space="preserve">Shipment sync (shipping/delivered)</t>
  </si>
  <si>
    <t xml:space="preserve">ORD-10: shipment.*</t>
  </si>
  <si>
    <t xml:space="preserve">auction_orders, inbox_messages, order_cancellations, order_refunds, order_status_history, orders, outbox_messages</t>
  </si>
  <si>
    <t xml:space="preserve">OrderDelivered; OrderShipped; ShipmentDelivered; ShipmentFailed; ShipmentInTransit; ShipmentPickedUp; ShipmentReturned</t>
  </si>
  <si>
    <t xml:space="preserve">Complete order (buyer / auto)</t>
  </si>
  <si>
    <t xml:space="preserve">ORD-07, ORD-08</t>
  </si>
  <si>
    <t xml:space="preserve">ORD-07: POST /api/v1/orders/{orderId}/confirm-received?orderType=; ORD-08: mỗi giờ</t>
  </si>
  <si>
    <t xml:space="preserve">auction_orders, order_status_history, orders, outbox_messages, system_settings</t>
  </si>
  <si>
    <t xml:space="preserve">OrderCompleted; OrderCompleted (SYSTEM)</t>
  </si>
  <si>
    <t xml:space="preserve">G08; G19</t>
  </si>
  <si>
    <t xml:space="preserve">Admin/Support order management</t>
  </si>
  <si>
    <t xml:space="preserve">ORD-11, ORD-12</t>
  </si>
  <si>
    <t xml:space="preserve">ORD-11: GET /api/v1/admin/orders; ORD-12: PATCH /api/v1/admin/orders/{orderId}/status?orderType=</t>
  </si>
  <si>
    <t xml:space="preserve">Event Log; User batch lookup of buyer/seller names</t>
  </si>
  <si>
    <t xml:space="preserve">COM-ORD-011</t>
  </si>
  <si>
    <t xml:space="preserve">Enforce state machine</t>
  </si>
  <si>
    <t xml:space="preserve">ORD-12, ORD-18</t>
  </si>
  <si>
    <t xml:space="preserve">ORD-12: PATCH /api/v1/admin/orders/{orderId}/status?orderType=; ORD-18: OrderStateMachine.transition(order, toStatus, actor, reason)</t>
  </si>
  <si>
    <t xml:space="preserve">Event of target status (OrderDelivered / OrderCompleted ...); Event of target status (through outbox)</t>
  </si>
  <si>
    <t xml:space="preserve">Event Log</t>
  </si>
  <si>
    <t xml:space="preserve">COM-ORD-012</t>
  </si>
  <si>
    <t xml:space="preserve">Retention: soft delete only</t>
  </si>
  <si>
    <t xml:space="preserve">5.8</t>
  </si>
  <si>
    <t xml:space="preserve">Rating eligibility API (NEW, from Functions.xlsx notes)</t>
  </si>
  <si>
    <t xml:space="preserve">3.1.2.1</t>
  </si>
  <si>
    <t xml:space="preserve">ORD-23: GET /internal/v1/orders/{orderId}/rating-eligibility?userId=</t>
  </si>
  <si>
    <t xml:space="preserve">Called by Catalog</t>
  </si>
  <si>
    <t xml:space="preserve">COM-AUC-001</t>
  </si>
  <si>
    <t xml:space="preserve">Create auction order from Auction result</t>
  </si>
  <si>
    <t xml:space="preserve">AO-01: Consumer - AuctionSettled (AuctionWon ignored)</t>
  </si>
  <si>
    <t xml:space="preserve">auction_orders, daily_order_sequences, inbox_messages, order_status_history, outbox_messages, system_settings</t>
  </si>
  <si>
    <t xml:space="preserve">AuctionSettled; OrderCreated (orderType=AUCTION)</t>
  </si>
  <si>
    <t xml:space="preserve">Catalog CAT-24</t>
  </si>
  <si>
    <t xml:space="preserve">COM-AUC-002</t>
  </si>
  <si>
    <t xml:space="preserve">Idempotent creation per auction_id</t>
  </si>
  <si>
    <t xml:space="preserve">COM-AUC-003</t>
  </si>
  <si>
    <t xml:space="preserve">Report orderId back to Auction</t>
  </si>
  <si>
    <t xml:space="preserve">COM-AUC-004</t>
  </si>
  <si>
    <t xml:space="preserve">Shipping address + fee quote</t>
  </si>
  <si>
    <t xml:space="preserve">AO-02: PUT /api/v1/auction-orders/{auctionOrderId}/shipping</t>
  </si>
  <si>
    <t xml:space="preserve">Fulfillment FUL-12</t>
  </si>
  <si>
    <t xml:space="preserve">COM-AUC-005</t>
  </si>
  <si>
    <t xml:space="preserve">Payment deadline (24h)</t>
  </si>
  <si>
    <t xml:space="preserve">Payment timeout handling</t>
  </si>
  <si>
    <t xml:space="preserve">AO-04: mỗi 1 phút</t>
  </si>
  <si>
    <t xml:space="preserve">COM-AUC-007</t>
  </si>
  <si>
    <t xml:space="preserve">Post-payment flow same as normal order</t>
  </si>
  <si>
    <t xml:space="preserve">PAY-01, ORD-04, ORD-09, ORD-10</t>
  </si>
  <si>
    <t xml:space="preserve">PAY-01: PaymentSucceeded | PaymentFailed | PaymentExpired (event do ; ORD-04: POST /api/v1/seller/orders/{orderId}/accept?orderType=; ORD-09: mỗi 1 phút; ORD-10: shipment.*</t>
  </si>
  <si>
    <t xml:space="preserve">auction_orders, cart_items, carts, checkout_groups, discount_code_usages, discount_codes, inbox_messages, order_cancellations, order_items, order_refunds, order_status_history, orders, outbox_messages, saga_state</t>
  </si>
  <si>
    <t xml:space="preserve">CheckoutCompleted (not in SRS 5.2); OrderCancelled (SELLER_NO_RESPONSE, SYSTEM); OrderConfirmed (renamed from OrderSellerAccepted, spec 2.4.5 PROPOSED); OrderDelivered; OrderPaid (per order); OrderPaymentFailed; OrderRefundRequested; OrderRefundRequested (late/mismatch); OrderShipped; PaymentSucceeded / PaymentFailed / PaymentExpired (as written); ShipmentDelivered; ShipmentFailed; ShipmentInTransit; ShipmentPickedUp; ShipmentReturned; WalletDebitedSuccess / WalletDebitFailed (target)</t>
  </si>
  <si>
    <t xml:space="preserve">Fulfillment creates shipment asynchronously on OrderConfirme; Fulfillment shipment events; Wallet events; Wallet refund; Fulfillment release; User penalty</t>
  </si>
  <si>
    <t xml:space="preserve">G05; G07; G14; G25</t>
  </si>
  <si>
    <t xml:space="preserve">COM-AUC-008</t>
  </si>
  <si>
    <t xml:space="preserve">Events carry orderType/auctionId</t>
  </si>
  <si>
    <t xml:space="preserve">5.4</t>
  </si>
  <si>
    <t xml:space="preserve">PAY-01, ORD-05, ORD-06, AO-01</t>
  </si>
  <si>
    <t xml:space="preserve">PAY-01: PaymentSucceeded | PaymentFailed | PaymentExpired (event do ; ORD-05: POST /api/v1/seller/orders/{orderId}/reject?orderType=; ORD-06: POST /api/v1/orders/{orderId}/cancel?orderType=; AO-01: Consumer - AuctionSettled (AuctionWon ignored)</t>
  </si>
  <si>
    <t xml:space="preserve">auction_orders, cart_items, carts, checkout_groups, daily_order_sequences, discount_code_usages, discount_codes, idempotency_keys, inbox_messages, order_cancellations, order_items, order_refunds, order_status_history, orders, outbox_messages, saga_state, system_settings</t>
  </si>
  <si>
    <t xml:space="preserve">AuctionSettled; CheckoutCompleted (not in SRS 5.2); OrderCancelled; OrderCancelled (SELLER_REJECTED, SELLER); OrderCreated (orderType=AUCTION); OrderPaid (per order); OrderPaymentFailed; OrderRefundRequested; OrderRefundRequested (if was_paid); OrderRefundRequested (late/mismatch); PaymentSucceeded / PaymentFailed / PaymentExpired (as written); WalletDebitedSuccess / WalletDebitFailed (target)</t>
  </si>
  <si>
    <t xml:space="preserve">Catalog CAT-24; Wallet events; Wallet refund; Wallet refund via OrderRefundRequested; Fulfillment release </t>
  </si>
  <si>
    <t xml:space="preserve">G05; G13; G20; G33; G35</t>
  </si>
  <si>
    <t xml:space="preserve">Handle AuctionCancelled: log + alert only (NEW, not in SRS)</t>
  </si>
  <si>
    <t xml:space="preserve">AO-05: Consumer - AuctionCancelled</t>
  </si>
  <si>
    <t xml:space="preserve">auction_orders, inbox_messages</t>
  </si>
  <si>
    <t xml:space="preserve">COM-CNL-001</t>
  </si>
  <si>
    <t xml:space="preserve">Cancellation</t>
  </si>
  <si>
    <t xml:space="preserve">Cancellation eligibility</t>
  </si>
  <si>
    <t xml:space="preserve">CHK-05, ORD-05, ORD-06</t>
  </si>
  <si>
    <t xml:space="preserve">CHK-05: POST /api/v1/checkout-groups/{checkoutGroupId}/cancel; ORD-05: POST /api/v1/seller/orders/{orderId}/reject?orderType=; ORD-06: POST /api/v1/orders/{orderId}/cancel?orderType=</t>
  </si>
  <si>
    <t xml:space="preserve">auction_orders, checkout_groups, discount_code_usages, discount_codes, idempotency_keys, order_cancellations, order_refunds, order_status_history, orders, outbox_messages, saga_state</t>
  </si>
  <si>
    <t xml:space="preserve">CheckoutCancelled; OrderCancelled; OrderCancelled (SELLER_REJECTED, SELLER); OrderCancelled (per order); OrderRefundRequested; OrderRefundRequested (if was_paid)</t>
  </si>
  <si>
    <t xml:space="preserve">Wallet; Wallet refund; Wallet refund via OrderRefundRequested; Fulfillment release </t>
  </si>
  <si>
    <t xml:space="preserve">G05; G13; G35</t>
  </si>
  <si>
    <t xml:space="preserve">COM-CNL-002</t>
  </si>
  <si>
    <t xml:space="preserve">Cancellation processing (one TX)</t>
  </si>
  <si>
    <t xml:space="preserve">ORD-06, ORD-09</t>
  </si>
  <si>
    <t xml:space="preserve">ORD-06: POST /api/v1/orders/{orderId}/cancel?orderType=; ORD-09: mỗi 1 phút</t>
  </si>
  <si>
    <t xml:space="preserve">OrderCancelled; OrderCancelled (SELLER_NO_RESPONSE, SYSTEM); OrderRefundRequested; OrderRefundRequested (if was_paid)</t>
  </si>
  <si>
    <t xml:space="preserve">Wallet refund; Wallet refund; Fulfillment release; User penalty</t>
  </si>
  <si>
    <t xml:space="preserve">COM-CNL-003</t>
  </si>
  <si>
    <t xml:space="preserve">Release inventory and voucher</t>
  </si>
  <si>
    <t xml:space="preserve">ORD-06, ORD-22</t>
  </si>
  <si>
    <t xml:space="preserve">ORD-06: POST /api/v1/orders/{orderId}/cancel?orderType=; ORD-22: inventory.*</t>
  </si>
  <si>
    <t xml:space="preserve">auction_orders, checkout_groups, discount_code_usages, discount_codes, idempotency_keys, inbox_messages, order_cancellations, order_refunds, order_status_history, orders, outbox_messages, saga_state</t>
  </si>
  <si>
    <t xml:space="preserve">InventoryReleased; InventoryReservationExpired; OrderCancelled; OrderCancelled (PAYMENT_TIMEOUT, SYSTEM); OrderRefundRequested (if was_paid)</t>
  </si>
  <si>
    <t xml:space="preserve">Fulfillment events; Wallet refund</t>
  </si>
  <si>
    <t xml:space="preserve">G05; G06; G35</t>
  </si>
  <si>
    <t xml:space="preserve">COM-CNL-004</t>
  </si>
  <si>
    <t xml:space="preserve">Refund trigger when was_paid</t>
  </si>
  <si>
    <t xml:space="preserve">ORD-06: POST /api/v1/orders/{orderId}/cancel?orderType=</t>
  </si>
  <si>
    <t xml:space="preserve">Wallet refund</t>
  </si>
  <si>
    <t xml:space="preserve">COM-RFD-001</t>
  </si>
  <si>
    <t xml:space="preserve">Refund</t>
  </si>
  <si>
    <t xml:space="preserve">Create refund request</t>
  </si>
  <si>
    <t xml:space="preserve">ORD-05, ORD-06, ORD-09, ORD-13</t>
  </si>
  <si>
    <t xml:space="preserve">ORD-05: POST /api/v1/seller/orders/{orderId}/reject?orderType=; ORD-06: POST /api/v1/orders/{orderId}/cancel?orderType=; ORD-09: mỗi 1 phút; ORD-13: POST /api/v1/admin/orders/{orderId}/refund?orderType=</t>
  </si>
  <si>
    <t xml:space="preserve">OrderCancelled; OrderCancelled (SELLER_NO_RESPONSE, SYSTEM); OrderCancelled (SELLER_REJECTED, SELLER); OrderRefundRequested; OrderRefundRequested (if was_paid)</t>
  </si>
  <si>
    <t xml:space="preserve">Wallet refund; Wallet refund via OrderRefundRequested; Fulfillment release ; Wallet refund; Fulfillment release; User penalty</t>
  </si>
  <si>
    <t xml:space="preserve">G05; G13; G17; G35</t>
  </si>
  <si>
    <t xml:space="preserve">COM-RFD-002</t>
  </si>
  <si>
    <t xml:space="preserve">Refund uniqueness / partial refund</t>
  </si>
  <si>
    <t xml:space="preserve">ORD-13: POST /api/v1/admin/orders/{orderId}/refund?orderType=</t>
  </si>
  <si>
    <t xml:space="preserve">auction_orders, idempotency_keys, order_cancellations, order_refunds, order_status_history, orders, outbox_messages</t>
  </si>
  <si>
    <t xml:space="preserve">COM-RFD-003</t>
  </si>
  <si>
    <t xml:space="preserve">Handle refund result</t>
  </si>
  <si>
    <t xml:space="preserve">ORD-14: payment.refund.*</t>
  </si>
  <si>
    <t xml:space="preserve">auction_orders, inbox_messages, order_refunds, order_status_history, orders, outbox_messages</t>
  </si>
  <si>
    <t xml:space="preserve">OrderRefundCompleted; RefundCompleted / RefundFailed (as written); WalletRefunded (Wallet WAL-06)</t>
  </si>
  <si>
    <t xml:space="preserve">COM-RFD-004</t>
  </si>
  <si>
    <t xml:space="preserve">Handle refund failure</t>
  </si>
  <si>
    <t xml:space="preserve">ORD-14, ORD-25</t>
  </si>
  <si>
    <t xml:space="preserve">ORD-14: payment.refund.*; ORD-25: Scheduled - every 10 min</t>
  </si>
  <si>
    <t xml:space="preserve">(alert only); OrderRefundCompleted; RefundCompleted / RefundFailed (as written); WalletRefunded (Wallet WAL-06)</t>
  </si>
  <si>
    <t xml:space="preserve">Notification / alerting; Wallet events</t>
  </si>
  <si>
    <t xml:space="preserve">COM-RFD-005</t>
  </si>
  <si>
    <t xml:space="preserve">Manual refund by Admin/Support</t>
  </si>
  <si>
    <t xml:space="preserve">COM-RFD-006</t>
  </si>
  <si>
    <t xml:space="preserve">Refund reconciliation alert (NEW)</t>
  </si>
  <si>
    <t xml:space="preserve">ORD-25: Scheduled - every 10 min</t>
  </si>
  <si>
    <t xml:space="preserve">order_refunds, outbox_messages</t>
  </si>
  <si>
    <t xml:space="preserve">Voucher management</t>
  </si>
  <si>
    <t xml:space="preserve">(none)</t>
  </si>
  <si>
    <t xml:space="preserve">DSC-05, DSC-06, DSC-07</t>
  </si>
  <si>
    <t xml:space="preserve">DSC-05: POST /api/v1/vouchers; DSC-06: PATCH /api/v1/vouchers/{voucherId}; DSC-07: GET /api/v1/vouchers</t>
  </si>
  <si>
    <t xml:space="preserve">discount_code_scopes, discount_code_usages, discount_codes, outbox_messages</t>
  </si>
  <si>
    <t xml:space="preserve">Catalog</t>
  </si>
  <si>
    <t xml:space="preserve">List available vouchers</t>
  </si>
  <si>
    <t xml:space="preserve">DSC-01: GET /api/v1/vouchers/available?cartItemIds=&amp;sellerId=&amp;page=&amp;</t>
  </si>
  <si>
    <t xml:space="preserve">discount_code_scopes, discount_code_usages, discount_codes</t>
  </si>
  <si>
    <t xml:space="preserve">COM-DSC-003</t>
  </si>
  <si>
    <t xml:space="preserve">Voucher scope</t>
  </si>
  <si>
    <t xml:space="preserve">DSC-02, DSC-05</t>
  </si>
  <si>
    <t xml:space="preserve">DSC-02: VoucherService.validateAndCalculate(code, userId, scopeConte; DSC-05: POST /api/v1/vouchers</t>
  </si>
  <si>
    <t xml:space="preserve">COM-DSC-004</t>
  </si>
  <si>
    <t xml:space="preserve">Voucher validity rules</t>
  </si>
  <si>
    <t xml:space="preserve">DSC-02, DSC-03</t>
  </si>
  <si>
    <t xml:space="preserve">DSC-02: VoucherService.validateAndCalculate(code, userId, scopeConte; DSC-03: VoucherService.reserve(checkoutGroupId, orderId?, userId, co</t>
  </si>
  <si>
    <t xml:space="preserve">COM-DSC-005</t>
  </si>
  <si>
    <t xml:space="preserve">Discount calculation + stacking</t>
  </si>
  <si>
    <t xml:space="preserve">DSC-02: VoucherService.validateAndCalculate(code, userId, scopeConte</t>
  </si>
  <si>
    <t xml:space="preserve">Usage lifecycle reserve/confirm/release</t>
  </si>
  <si>
    <t xml:space="preserve">DSC-03, DSC-04</t>
  </si>
  <si>
    <t xml:space="preserve">DSC-03: VoucherService.reserve(checkoutGroupId, orderId?, userId, co; DSC-04: VoucherService.confirm(groupId) / release(orderId|groupId, r</t>
  </si>
  <si>
    <t xml:space="preserve">discount_code_usages, discount_codes</t>
  </si>
  <si>
    <t xml:space="preserve">Voucher expiry job (PROPOSED)</t>
  </si>
  <si>
    <t xml:space="preserve">DSC-08: Scheduled - hourly</t>
  </si>
  <si>
    <t xml:space="preserve">COM-INV-001</t>
  </si>
  <si>
    <t xml:space="preserve">Generate invoice</t>
  </si>
  <si>
    <t xml:space="preserve">ORD-15: Event consumer (OrderCompleted, nội bộ) + worker bất đồng bộ</t>
  </si>
  <si>
    <t xml:space="preserve">auction_orders, daily_order_sequences, order_invoices, orders, outbox_messages</t>
  </si>
  <si>
    <t xml:space="preserve">InvoiceGenerated (not in SRS 5.2, PROPOSED); OrderCompleted (internal)</t>
  </si>
  <si>
    <t xml:space="preserve">Object Storage</t>
  </si>
  <si>
    <t xml:space="preserve">Deliver invoice (Notification / download)</t>
  </si>
  <si>
    <t xml:space="preserve">ORD-15, ORD-16</t>
  </si>
  <si>
    <t xml:space="preserve">ORD-15: Event consumer (OrderCompleted, nội bộ) + worker bất đồng bộ; ORD-16: GET /api/v1/orders/{orderId}/invoice?orderType=</t>
  </si>
  <si>
    <t xml:space="preserve">Object Storage; Object Storage presigned URL</t>
  </si>
  <si>
    <t xml:space="preserve">COM-INV-003</t>
  </si>
  <si>
    <t xml:space="preserve">Invoice failure + retry</t>
  </si>
  <si>
    <t xml:space="preserve">Idempotency keys</t>
  </si>
  <si>
    <t xml:space="preserve">CHK-02, ORD-19</t>
  </si>
  <si>
    <t xml:space="preserve">CHK-02: POST /api/v1/checkout; ORD-19: IdempotencyFilter (header Idempotency-Key)</t>
  </si>
  <si>
    <t xml:space="preserve">COM-PLT-002</t>
  </si>
  <si>
    <t xml:space="preserve">Transactional outbox</t>
  </si>
  <si>
    <t xml:space="preserve">ORD-20: mỗi ~1s</t>
  </si>
  <si>
    <t xml:space="preserve">COM-PLT-003</t>
  </si>
  <si>
    <t xml:space="preserve">Inbox dedupe</t>
  </si>
  <si>
    <t xml:space="preserve">5.2</t>
  </si>
  <si>
    <t xml:space="preserve">CART-11, ORD-24</t>
  </si>
  <si>
    <t xml:space="preserve">CART-11: topics: catalog.*, user.*; ORD-24: Scheduled - every 1 min</t>
  </si>
  <si>
    <t xml:space="preserve">Saga + recovery</t>
  </si>
  <si>
    <t xml:space="preserve">ORD-21: mỗi 2 phút</t>
  </si>
  <si>
    <t xml:space="preserve">checkout_groups, idempotency_keys, orders, outbox_messages, saga_state</t>
  </si>
  <si>
    <t xml:space="preserve">Wallet payment status; Fulfillment reservation status</t>
  </si>
  <si>
    <t xml:space="preserve">COM-PLT-005</t>
  </si>
  <si>
    <t xml:space="preserve">Daily document sequence</t>
  </si>
  <si>
    <t xml:space="preserve">ORD-17: SequenceService.next(seqType)</t>
  </si>
  <si>
    <t xml:space="preserve">System settings</t>
  </si>
  <si>
    <t xml:space="preserve">2.6</t>
  </si>
  <si>
    <t xml:space="preserve">ORD-26: SettingsProvider.Get&lt;T&gt;(key)</t>
  </si>
  <si>
    <t xml:space="preserve">COM-PLT-007</t>
  </si>
  <si>
    <t xml:space="preserve">Audit / status history</t>
  </si>
  <si>
    <t xml:space="preserve">COM-PLT-008</t>
  </si>
  <si>
    <t xml:space="preserve">Optimistic locking + SKIP LOCKED</t>
  </si>
  <si>
    <t xml:space="preserve">ORD-18: OrderStateMachine.transition(order, toStatus, actor, reason)</t>
  </si>
  <si>
    <t xml:space="preserve">auction_orders, order_status_history, orders</t>
  </si>
  <si>
    <t xml:space="preserve">COM-PLT-009</t>
  </si>
  <si>
    <t xml:space="preserve">Observability</t>
  </si>
  <si>
    <t xml:space="preserve">5.5</t>
  </si>
  <si>
    <t xml:space="preserve">COM-PLT-010</t>
  </si>
  <si>
    <t xml:space="preserve">Inbox retry worker (NEW)</t>
  </si>
  <si>
    <t xml:space="preserve">ORD-24: Scheduled - every 1 min</t>
  </si>
  <si>
    <t xml:space="preserve">Method</t>
  </si>
  <si>
    <t xml:space="preserve">Path</t>
  </si>
  <si>
    <t xml:space="preserve">Name</t>
  </si>
  <si>
    <t xml:space="preserve">Idempotency-Key</t>
  </si>
  <si>
    <t xml:space="preserve">Request</t>
  </si>
  <si>
    <t xml:space="preserve">Response</t>
  </si>
  <si>
    <t xml:space="preserve">Validation</t>
  </si>
  <si>
    <t xml:space="preserve">Errors</t>
  </si>
  <si>
    <t xml:space="preserve">Change</t>
  </si>
  <si>
    <t xml:space="preserve">GET</t>
  </si>
  <si>
    <t xml:space="preserve">/api/v1/carts/me</t>
  </si>
  <si>
    <t xml:space="preserve">Header: Authorization: Bearer &lt;JWT&gt;
Query: includeInvalid=true|false (default true)</t>
  </si>
  <si>
    <t xml:space="preserve">200 {cartId (null nếu chưa có giỏ), status, itemCount, subtotalAmount, lastActivityAt,
groups:[{sellerId, sellerName, items:[{cartItemId, productId, skuId, productName, skuAttributes, imageUrl, quantity, unitPriceSnapshot, currentUnitPrice, lineTotal, priceChanged, stockAvailable, itemStatus: OK|OUT_OF_STOCK|INACTIVE|PRICE_CHANGED}]}],
warnings:[]}</t>
  </si>
  <si>
    <t xml:space="preserve">buyerId lấy từ JWT, KHÔNG nhận từ client.</t>
  </si>
  <si>
    <t xml:space="preserve">POST</t>
  </si>
  <si>
    <t xml:space="preserve">/api/v1/carts/me/items</t>
  </si>
  <si>
    <t xml:space="preserve">Body: {productId: uuid, skuId: uuid, quantity: int}</t>
  </si>
  <si>
    <t xml:space="preserve">200 {cartItemId, quantity, unitPriceSnapshot, cart:{itemCount, subtotalAmount}}</t>
  </si>
  <si>
    <t xml:space="preserve">- quantity: số nguyên 1..MAX_QTY_PER_ITEM (config, vd 99)
- productId/skuId đúng UUID, SKU thuộc product
- Product status = ACTIVE, seller chưa bị khoá
- Không mua hàng của chính mình (buyerId ≠ sellerId)
- Product không đang bán theo auction (Catalog trả saleMode ≠ AUCTION / không có auction ACTIVE)
- Cart không bị khoá: không có checkout_groups PENDING_PAYMENT / PAYMENT_PROCESSING (CART_LOCKED)
- Tổng qty sau cộng dồn ≤ tồn khả dụng (soft check) và ≤ MAX_QTY_PER_ITEM (check lại trong SQL upsert)
- Số dòng khác nhau ≤ MAX_CART_ITEMS (vd 50)</t>
  </si>
  <si>
    <t xml:space="preserve">PATCH</t>
  </si>
  <si>
    <t xml:space="preserve">/api/v1/carts/me/items/{cartItemId}</t>
  </si>
  <si>
    <t xml:space="preserve">Path: cartItemId
Body: {quantity: int}</t>
  </si>
  <si>
    <t xml:space="preserve">200 {cartItemId, quantity, lineTotal, cart:{itemCount, subtotalAmount}}</t>
  </si>
  <si>
    <t xml:space="preserve">- quantity ≥ 1 và ≤ MAX_QTY_PER_ITEM (muốn xoá dùng DELETE)
- Item thuộc cart ACTIVE của chính buyer
- quantity ≤ tồn khả dụng
- Cart không bị khoá (CART_LOCKED)</t>
  </si>
  <si>
    <t xml:space="preserve">DELETE</t>
  </si>
  <si>
    <t xml:space="preserve">Path: cartItemId</t>
  </si>
  <si>
    <t xml:space="preserve">200 {cart:{itemCount, subtotalAmount}}</t>
  </si>
  <si>
    <t xml:space="preserve">- Item thuộc cart ACTIVE của buyer
- Idempotent: item đã xoá / không tồn tại / không thuộc buyer → vẫn trả 200 (không lộ tồn tại)
- Cart không bị khoá (CART_LOCKED)</t>
  </si>
  <si>
    <t xml:space="preserve">/api/v1/carts/me/items:bulk-remove</t>
  </si>
  <si>
    <t xml:space="preserve">Body: {cartItemIds:[uuid]} hoặc {all:true}</t>
  </si>
  <si>
    <t xml:space="preserve">200 {removedCount, cart:{itemCount, subtotalAmount}}</t>
  </si>
  <si>
    <t xml:space="preserve">- cartItemIds 1..100, hoặc all=true (loại trừ nhau)
- Mọi id thuộc cart của buyer (id lạ bỏ qua)</t>
  </si>
  <si>
    <t xml:space="preserve">/api/v1/carts/me/validate</t>
  </si>
  <si>
    <t xml:space="preserve">Body: {cartItemIds?: [uuid]} (rỗng = cả giỏ)</t>
  </si>
  <si>
    <t xml:space="preserve">200 {valid: bool, items:[{cartItemId, issues:[PRICE_CHANGED|OUT_OF_STOCK|INACTIVE|SELLER_SUSPENDED|QTY_EXCEEDS_STOCK], currentUnitPrice, availableQty}]}</t>
  </si>
  <si>
    <t xml:space="preserve">- Cart ACTIVE, không rỗng
- cartItemIds thuộc cart</t>
  </si>
  <si>
    <t xml:space="preserve">/api/v1/carts/me/summary</t>
  </si>
  <si>
    <t xml:space="preserve">Header: Authorization</t>
  </si>
  <si>
    <t xml:space="preserve">200 {itemCount, subtotalAmount}</t>
  </si>
  <si>
    <t xml:space="preserve">—</t>
  </si>
  <si>
    <t xml:space="preserve">/api/v1/carts/me/merge</t>
  </si>
  <si>
    <t xml:space="preserve">Body: {items:[{skuId, quantity}]}</t>
  </si>
  <si>
    <t xml:space="preserve">200 {mergedCount, skippedItems:[{skuId, reason}], cart:{…}}</t>
  </si>
  <si>
    <t xml:space="preserve">- ≤ 50 item; mỗi item áp dụng rule của CART-02</t>
  </si>
  <si>
    <t xml:space="preserve">/api/v1/checkout/preview</t>
  </si>
  <si>
    <t xml:space="preserve">Body: {cartItemIds?:[uuid], shippingAddress:{receiverName, street, ward, district, province, ghnDistrictId, ghnWardCode}, contactPhone, paymentMethod: WALLET|VNPAY, carrierCode?, vouchers:{system?:code, shops:[{sellerId, code}], products:[{skuId, code}]}}</t>
  </si>
  <si>
    <t xml:space="preserve">200 {orders:[{sellerId, items[], itemsAmount, productDiscountAmount, shopDiscountAmount, platformMarkupAmount, systemDiscountAmount, shippingFeeAmount, totalAmount, shippingOptions[], quoteId}], grandTotal, appliedVouchers[], invalidVouchers:[{code, reason}], walletBalance?, warnings[]}</t>
  </si>
  <si>
    <t xml:space="preserve">- Cart không rỗng, các item hợp lệ (CART-06)
- shippingAddress đủ trường; contactPhone regex VN (^(0|\+84)\d{9}$)
- paymentMethod ∈ {WALLET, VNPAY} (COD chưa hỗ trợ MVP)
- Voucher sai KHÔNG làm fail preview, đưa vào invalidVouchers</t>
  </si>
  <si>
    <t xml:space="preserve">/api/v1/checkout</t>
  </si>
  <si>
    <t xml:space="preserve">Required</t>
  </si>
  <si>
    <t xml:space="preserve">Header: Idempotency-Key: &lt;uuid&gt; (bắt buộc)
Body: như CHK-01 + expectedGrandTotal, quoteId (từ CHK-01)</t>
  </si>
  <si>
    <t xml:space="preserve">201 {checkoutGroupId, status:'PENDING_PAYMENT', totalAmount, paymentDeadlineAt, orders:[{orderId, orderNo, sellerId, totalAmount, status}]}
Replay cùng key → trả lại đúng response đã lưu.</t>
  </si>
  <si>
    <t xml:space="preserve">- Idempotency-Key UUID; cùng key + request_hash khác → 422
- expectedGrandTotal == tổng tính lại (lệch → 409 PRICE_CHANGED + giá mới)
- Cart ACTIVE của buyer; chưa có checkout PENDING_PAYMENT cho cart (partial unique index)
- Item hợp lệ (CART-06), địa chỉ + phone hợp lệ
- Buyer không bị khoá / reputation đủ (FEATURE_REPUTATION_ENFORCEMENT)
- Voucher: ACTIVE, trong thời gian, đủ min_order_amount, còn lượt</t>
  </si>
  <si>
    <t xml:space="preserve">/api/v1/checkout-groups/{checkoutGroupId}/pay</t>
  </si>
  <si>
    <t xml:space="preserve">Header: Idempotency-Key
Body: {paymentMethod: WALLET|VNPAY, returnUrl?}</t>
  </si>
  <si>
    <t xml:space="preserve">WALLET: 202 {status:'PAYMENT_PROCESSING'} — KHÔNG trả PAID đồng bộ; PAID chỉ do PAY-01 set (FE poll CHK-04)
VNPAY: 202 {status:'PAYMENT_PROCESSING', paymentUrl, expiresAt}</t>
  </si>
  <si>
    <t xml:space="preserve">- Group thuộc buyer
- status = PENDING_PAYMENT và now &lt; payment_deadline_at
- saga_state = AWAITING_PAYMENT (đã giữ tồn kho)
- returnUrl thuộc whitelist domain
- Chưa vượt PAYMENT_RETRY_LIMIT (3) — đếm bằng saga_state.state_data.paymentAttempts (hoặc cột checkout_groups.payment_attempt_count)</t>
  </si>
  <si>
    <t xml:space="preserve">/api/v1/checkout-groups/{checkoutGroupId}</t>
  </si>
  <si>
    <t xml:space="preserve">Path: checkoutGroupId</t>
  </si>
  <si>
    <t xml:space="preserve">200 {id, status, totalAmount, paymentMethod, paymentDeadlineAt, walletTransactionId, orders:[{orderId, orderNo, status, totalAmount}]}</t>
  </si>
  <si>
    <t xml:space="preserve">- Group thuộc buyer (không thì 404)</t>
  </si>
  <si>
    <t xml:space="preserve">/api/v1/checkout-groups/{checkoutGroupId}/cancel</t>
  </si>
  <si>
    <t xml:space="preserve">Body: {reasonCode, reasonNote?}</t>
  </si>
  <si>
    <t xml:space="preserve">200 {status:'CANCELLED'}</t>
  </si>
  <si>
    <t xml:space="preserve">- status = PENDING_PAYMENT (không phải PAYMENT_PROCESSING)
- reasonCode hợp lệ</t>
  </si>
  <si>
    <t xml:space="preserve">/api/v1/vouchers/available?cartItemIds=&amp;sellerId=&amp;page=&amp;size=</t>
  </si>
  <si>
    <t xml:space="preserve">Query như trên</t>
  </si>
  <si>
    <t xml:space="preserve">200 {items:[{code, name, scopeType, discountType, discountValue, maxDiscountAmount, minOrderAmount, endsAt, eligible, ineligibleReason, remainingUses}], paging}</t>
  </si>
  <si>
    <t xml:space="preserve">- size ≤ 50
- Lọc: status=ACTIVE, starts_at ≤ now ≤ ends_at, deleted_at IS NULL, is_visible=true, used_count+reserved_count &lt; max_uses_total, số lần buyer đã dùng (RESERVED+USED) &lt; max_uses_per_user</t>
  </si>
  <si>
    <t xml:space="preserve">/api/v1/vouchers</t>
  </si>
  <si>
    <t xml:space="preserve">TBD - design in sprint planning (NEW function)</t>
  </si>
  <si>
    <t xml:space="preserve">/api/v1/vouchers/{voucherId}</t>
  </si>
  <si>
    <t xml:space="preserve">/api/v1/orders</t>
  </si>
  <si>
    <t xml:space="preserve">Query: status, orderType=ALL|REGULAR|AUCTION, fromDate, toDate, keyword (orderNo), page=0, size=20, sort=createdAt,desc</t>
  </si>
  <si>
    <t xml:space="preserve">200 {items:[{orderId, orderNo, orderType, sellerId, sellerName, status, totalAmount, itemCount, firstItem:{name, imageUrl}, createdAt, paymentDeadlineAt}], page, size, totalItems, totalPages}
Rỗng → items:[] (FE hiện 'No Data')</t>
  </si>
  <si>
    <t xml:space="preserve">- size ≤ 100; status thuộc enum; fromDate ≤ toDate, khoảng ≤ 1 năm
- sort whitelist (createdAt, totalAmount)</t>
  </si>
  <si>
    <t xml:space="preserve">/api/v1/orders/{orderId}?orderType=REGULAR|AUCTION</t>
  </si>
  <si>
    <t xml:space="preserve">Path: orderId; Query: orderType (default REGULAR)</t>
  </si>
  <si>
    <t xml:space="preserve">200 {orderId, orderNo, orderType, status, paymentMethod, shippingAddress, contactPhone, amounts:{itemsAmount, productDiscountAmount, shopDiscountAmount, platformMarkupAmount, systemDiscountAmount, shippingFeeAmount, totalAmount}, items[{productName, skuCode, skuAttributes, imageUrl, quantity, unitPrice, unitPriceAfterDiscount, lineTotal}], statusHistory[{fromStatus, toStatus, actorRole, reason, createdAt}], shipment?{carrier, trackingNo, status, events[]}, invoice?{invoiceNo, status}, cancellation?{reasonCode, wasPaid}, timestamps{…}, allowedActions:['CANCEL','CONFIRM_RECEIVED',…}
AUCTION thêm: auctionId, winningBidId, winningAmount.</t>
  </si>
  <si>
    <t xml:space="preserve">- Buyer: buyer_id = sub. Seller: seller_id = sub. Admin/Support: tất cả
- Không đủ quyền → 404 (không lộ tồn tại)
- Seller chỉ xem order có paid_at IS NOT NULL (không thấy PENDING_PAYMENT hoặc đơn huỷ trước khi trả tiền) → còn lại 404</t>
  </si>
  <si>
    <t xml:space="preserve">/api/v1/seller/orders</t>
  </si>
  <si>
    <t xml:space="preserve">Query: status, orderType, fromDate, toDate, keyword, page, size, sort</t>
  </si>
  <si>
    <t xml:space="preserve">200 {items:[{orderId, orderNo, status, receiverName, totalItems, sellerReceiveAmount, paidAt, sellerRespondDeadlineAt, createdAt}], statusCounts:{PAID, CONFIRMED, SHIPPING, DELIVERED, COMPLETED, CANCELLED, REFUNDED}, paging}</t>
  </si>
  <si>
    <t xml:space="preserve">- seller_id = sub; BẮT BUỘC paid_at IS NOT NULL (seller không thấy đơn chưa trả tiền / huỷ trước khi trả tiền)
- status=PENDING_PAYMENT → 400 VALIDATION_ERROR
- Giới hạn tham số như ORD-01</t>
  </si>
  <si>
    <t xml:space="preserve">/api/v1/seller/orders/{orderId}/accept?orderType=</t>
  </si>
  <si>
    <t xml:space="preserve">Body: {note?: string≤500}</t>
  </si>
  <si>
    <t xml:space="preserve">200 {orderId, status:'CONFIRMED', sellerAcceptedAt}</t>
  </si>
  <si>
    <t xml:space="preserve">- seller_id = sub
- status = PAID
- now ≤ seller_respond_deadline_at</t>
  </si>
  <si>
    <t xml:space="preserve">/api/v1/seller/orders/{orderId}/reject?orderType=</t>
  </si>
  <si>
    <t xml:space="preserve">Path: orderId; Query: orderType; Body: {reasonCode: SELLER_REJECTED, reasonNote? (free text, e.g. out of stock / cannot fulfill)}</t>
  </si>
  <si>
    <t xml:space="preserve">- seller_id = sub; status ∈ {PAID, CONFIRMED}
- reasonNote bắt buộc nếu OTHER (≤500)</t>
  </si>
  <si>
    <t xml:space="preserve">/api/v1/orders/{orderId}/cancel?orderType=</t>
  </si>
  <si>
    <t xml:space="preserve">Header: Idempotency-Key
Body: {reasonCode: BUYER_CHANGED_MIND|WRONG_ADDRESS|FOUND_CHEAPER|DUPLICATE_ORDER|ADMIN_POLICY|FRAUD|OTHER, reasonNote?}</t>
  </si>
  <si>
    <t xml:space="preserve">200 {orderId, status:'CANCELLED', refundStatus: NONE|REQUESTED}</t>
  </si>
  <si>
    <t xml:space="preserve">- Buyer: order của mình; order thường: status = PAID (trước khi seller accept). Order thường ở PENDING_PAYMENT phải huỷ qua CHK-05 (cả group, tránh lệch số tiền group). Auction order: status ∈ {PENDING_PAYMENT, PAID}
- Support/Admin: status ∈ {PAID, CONFIRMED} (trước SHIPPING); auction order thêm PENDING_PAYMENT
- reasonNote bắt buộc nếu OTHER
- Group của order đang PAYMENT_PROCESSING → 409</t>
  </si>
  <si>
    <t xml:space="preserve">/api/v1/orders/{orderId}/confirm-received?orderType=</t>
  </si>
  <si>
    <t xml:space="preserve">Body: {}</t>
  </si>
  <si>
    <t xml:space="preserve">200 {status:'COMPLETED', completedAt}</t>
  </si>
  <si>
    <t xml:space="preserve">- buyer_id = sub; status = DELIVERED</t>
  </si>
  <si>
    <t xml:space="preserve">/api/v1/admin/orders</t>
  </si>
  <si>
    <t xml:space="preserve">Query: orderNo, buyerId, sellerId, status, orderType, fromDate, toDate, minAmount, maxAmount, page, size, sort</t>
  </si>
  <si>
    <t xml:space="preserve">200 {items:[…như ORD-01 + buyerId, sellerId, sellerReceiveAmount, platformFeeAmount], paging}</t>
  </si>
  <si>
    <t xml:space="preserve">- size ≤ 100; khoảng ngày ≤ 1 năm
- Có ít nhất 1 filter hoặc khoảng ngày (tránh quét toàn bảng)</t>
  </si>
  <si>
    <t xml:space="preserve">/api/v1/admin/orders/{orderId}/status?orderType=</t>
  </si>
  <si>
    <t xml:space="preserve">Body: {toStatus, reason (≥10 ký tự)}</t>
  </si>
  <si>
    <t xml:space="preserve">200 {orderId, fromStatus, toStatus}</t>
  </si>
  <si>
    <t xml:space="preserve">- Chỉ cho transition TIẾN trong whitelist (vd SHIPPING→DELIVERED, DELIVERED→COMPLETED)
- KHÔNG cho →CANCELLED (dùng ORD-06 để có order_cancellations + saga refund), →REFUNDED (dùng ORD-13/ORD-14), →PAID (phải qua Payment)</t>
  </si>
  <si>
    <t xml:space="preserve">/api/v1/admin/orders/{orderId}/refund?orderType=</t>
  </si>
  <si>
    <t xml:space="preserve">Header: Idempotency-Key
Body: {reasonCode, reasonNote, amount?} (MVP: chỉ hoàn toàn phần)</t>
  </si>
  <si>
    <t xml:space="preserve">202 {orderId, refundStatus:'REQUESTED'}</t>
  </si>
  <si>
    <t xml:space="preserve">- status ∈ {DELIVERED, COMPLETED, CANCELLED(đã trả tiền, chưa hoàn)}
- Chưa có order_refunds ở trạng thái REQUESTED/COMPLETED cho order (UNIQUE partial)
- amount (nếu có) = total_amount (MVP)</t>
  </si>
  <si>
    <t xml:space="preserve">/api/v1/orders/{orderId}/invoice?orderType=</t>
  </si>
  <si>
    <t xml:space="preserve">Path: orderId</t>
  </si>
  <si>
    <t xml:space="preserve">200 {invoiceNo, status, issuedAt, downloadUrl (presigned, TTL 5 phút)}</t>
  </si>
  <si>
    <t xml:space="preserve">- Quyền xem order; invoice đã GENERATED và có file_url</t>
  </si>
  <si>
    <t xml:space="preserve">/internal/v1/orders/{orderId}/rating-eligibility?userId=&amp;productId=</t>
  </si>
  <si>
    <t xml:space="preserve">PUT</t>
  </si>
  <si>
    <t xml:space="preserve">/api/v1/auction-orders/{auctionOrderId}/shipping</t>
  </si>
  <si>
    <t xml:space="preserve">Body: {shippingAddress:{receiverName, street, ward, district, province, ghnDistrictId, ghnWardCode}, contactPhone, carrierCode?, serviceType?}</t>
  </si>
  <si>
    <t xml:space="preserve">200 {shippingFeeAmount, totalAmount, estimatedDelivery, options[]}</t>
  </si>
  <si>
    <t xml:space="preserve">- buyer_id = sub; status = PENDING_PAYMENT; now &lt; payment_deadline_at
- Địa chỉ/phone hợp lệ
- Có thể gửi lại nhiều lần tới khi thanh toán</t>
  </si>
  <si>
    <t xml:space="preserve">/api/v1/auction-orders/{auctionOrderId}/pay</t>
  </si>
  <si>
    <t xml:space="preserve">Như CHK-03</t>
  </si>
  <si>
    <t xml:space="preserve">- buyer_id = sub; status = PENDING_PAYMENT; now &lt; payment_deadline_at
- shipping_fee_amount và total_amount KHÔNG NULL (đã làm AO-02) → thiếu 409 SHIPPING_INFO_REQUIRED</t>
  </si>
  <si>
    <t xml:space="preserve">Table</t>
  </si>
  <si>
    <t xml:space="preserve">Purpose</t>
  </si>
  <si>
    <t xml:space="preserve">Written by (function IDs)</t>
  </si>
  <si>
    <t xml:space="preserve">Read by (function IDs)</t>
  </si>
  <si>
    <t xml:space="preserve"># writers</t>
  </si>
  <si>
    <t xml:space="preserve"># readers</t>
  </si>
  <si>
    <t xml:space="preserve">Check</t>
  </si>
  <si>
    <t xml:space="preserve">Buyer cart header, 1 ACTIVE per buyer, row_version</t>
  </si>
  <si>
    <t xml:space="preserve">CART-02, CART-03, CART-04, CART-05, CART-09, CART-10, CART-11, PAY-01</t>
  </si>
  <si>
    <t xml:space="preserve">CART-01, CART-06, CART-08, CHK-01, CHK-02</t>
  </si>
  <si>
    <t xml:space="preserve">cart_items</t>
  </si>
  <si>
    <t xml:space="preserve">Cart lines, UNIQUE(cart_id, sku_id), price snapshot</t>
  </si>
  <si>
    <t xml:space="preserve">CART-02, CART-03, CART-04, CART-05, CART-10, CART-11, PAY-01</t>
  </si>
  <si>
    <t xml:space="preserve">CART-01, CART-06, CHK-01, CHK-02</t>
  </si>
  <si>
    <t xml:space="preserve">1 checkout = N orders, deadline, payment attempts</t>
  </si>
  <si>
    <t xml:space="preserve">CHK-02, CHK-03, CHK-05, CHK-06, PAY-01, ORD-21, ORD-22</t>
  </si>
  <si>
    <t xml:space="preserve">CART-02, CART-03, CART-04, CART-05, CART-09, CHK-03, CHK-04, CHK-06, ORD-06, ORD-21, ORD-22</t>
  </si>
  <si>
    <t xml:space="preserve">orders</t>
  </si>
  <si>
    <t xml:space="preserve">Normal order per seller, snapshots, amounts, status</t>
  </si>
  <si>
    <t xml:space="preserve">CHK-02, CHK-03, CHK-05, CHK-06, PAY-01, ORD-04, ORD-05, ORD-06, ORD-07, ORD-08, ORD-09, ORD-10, ORD-12, ORD-14, ORD-18, ORD-21, ORD-22</t>
  </si>
  <si>
    <t xml:space="preserve">CHK-03, CHK-04, PAY-01, ORD-01, ORD-02, ORD-03, ORD-04, ORD-05, ORD-07, ORD-08, ORD-09, ORD-10, ORD-11, ORD-12, ORD-13, ORD-15, ORD-16, ORD-18, ORD-21, ORD-23</t>
  </si>
  <si>
    <t xml:space="preserve">order_items</t>
  </si>
  <si>
    <t xml:space="preserve">Order lines (snapshot)</t>
  </si>
  <si>
    <t xml:space="preserve">PAY-01, ORD-01, ORD-02, ORD-23</t>
  </si>
  <si>
    <t xml:space="preserve">order_status_history</t>
  </si>
  <si>
    <t xml:space="preserve">Status audit, order_id XOR auction_order_id</t>
  </si>
  <si>
    <t xml:space="preserve">CHK-02, CHK-05, CHK-06, PAY-01, ORD-04, ORD-05, ORD-06, ORD-07, ORD-08, ORD-09, ORD-10, ORD-12, ORD-13, ORD-14, ORD-18, ORD-22, AO-01, AO-04</t>
  </si>
  <si>
    <t xml:space="preserve">order_cancellations</t>
  </si>
  <si>
    <t xml:space="preserve">Cancellation facts (reason, actor, was_paid)</t>
  </si>
  <si>
    <t xml:space="preserve">CHK-05, CHK-06, ORD-05, ORD-06, ORD-09, ORD-10, ORD-22, AO-04</t>
  </si>
  <si>
    <t xml:space="preserve">ORD-02, ORD-13</t>
  </si>
  <si>
    <t xml:space="preserve">Refund lifecycle (REQUESTED/COMPLETED/FAILED)</t>
  </si>
  <si>
    <t xml:space="preserve">PAY-01, ORD-05, ORD-06, ORD-09, ORD-10, ORD-13, ORD-14</t>
  </si>
  <si>
    <t xml:space="preserve">ORD-02, ORD-14, ORD-25</t>
  </si>
  <si>
    <t xml:space="preserve">order_invoices</t>
  </si>
  <si>
    <t xml:space="preserve">Invoice per order</t>
  </si>
  <si>
    <t xml:space="preserve">ORD-02, ORD-16</t>
  </si>
  <si>
    <t xml:space="preserve">Auction order, 1 auction = 1 order</t>
  </si>
  <si>
    <t xml:space="preserve">PAY-01, ORD-04, ORD-05, ORD-06, ORD-07, ORD-08, ORD-09, ORD-10, ORD-12, ORD-14, ORD-18, AO-01, AO-02, AO-03, AO-04</t>
  </si>
  <si>
    <t xml:space="preserve">PAY-01, ORD-01, ORD-02, ORD-03, ORD-04, ORD-05, ORD-07, ORD-08, ORD-09, ORD-10, ORD-11, ORD-12, ORD-13, ORD-15, ORD-16, ORD-18, ORD-23, AO-02, AO-03, AO-04, AO-05</t>
  </si>
  <si>
    <t xml:space="preserve">Vouchers + counters</t>
  </si>
  <si>
    <t xml:space="preserve">CHK-02, CHK-05, CHK-06, PAY-01, DSC-03, DSC-04, DSC-05, DSC-06, DSC-08, ORD-05, ORD-06, ORD-09, ORD-22</t>
  </si>
  <si>
    <t xml:space="preserve">CHK-01, DSC-01, DSC-02, DSC-05, DSC-06, DSC-07, DSC-08</t>
  </si>
  <si>
    <t xml:space="preserve">discount_code_scopes</t>
  </si>
  <si>
    <t xml:space="preserve">DSC-05, DSC-06</t>
  </si>
  <si>
    <t xml:space="preserve">CHK-01, DSC-01, DSC-02, DSC-07</t>
  </si>
  <si>
    <t xml:space="preserve">Voucher usage RESERVED/USED/RELEASED</t>
  </si>
  <si>
    <t xml:space="preserve">CHK-02, CHK-05, CHK-06, PAY-01, DSC-03, DSC-04, ORD-05, ORD-06, ORD-09, ORD-22</t>
  </si>
  <si>
    <t xml:space="preserve">CHK-01, DSC-01, DSC-02, DSC-03, DSC-04, DSC-06</t>
  </si>
  <si>
    <t xml:space="preserve">API idempotency</t>
  </si>
  <si>
    <t xml:space="preserve">CHK-02, CHK-03, ORD-06, ORD-13, ORD-19, ORD-21, AO-03</t>
  </si>
  <si>
    <t xml:space="preserve">saga_state</t>
  </si>
  <si>
    <t xml:space="preserve">Saga progress</t>
  </si>
  <si>
    <t xml:space="preserve">CHK-02, CHK-03, CHK-05, CHK-06, PAY-01, ORD-05, ORD-06, ORD-09, ORD-21</t>
  </si>
  <si>
    <t xml:space="preserve">CART-02, CART-03, CART-04, CART-05, CART-09, CART-10, CHK-02, CHK-03, CHK-05, CHK-06, PAY-01, DSC-05, ORD-04, ORD-05, ORD-06, ORD-07, ORD-08, ORD-09, ORD-10, ORD-12, ORD-13, ORD-14, ORD-15, ORD-20, ORD-21, ORD-22, ORD-25, AO-01, AO-04</t>
  </si>
  <si>
    <t xml:space="preserve">Consumer dedupe</t>
  </si>
  <si>
    <t xml:space="preserve">CART-11, PAY-01, ORD-10, ORD-14, ORD-22, ORD-24, AO-01, AO-05</t>
  </si>
  <si>
    <t xml:space="preserve">Daily document numbers</t>
  </si>
  <si>
    <t xml:space="preserve">CHK-02, ORD-15, ORD-17, AO-01</t>
  </si>
  <si>
    <t xml:space="preserve">Typed config</t>
  </si>
  <si>
    <t xml:space="preserve">CART-02, CART-07, CART-09, CART-10, CHK-01, CHK-02, ORD-08, ORD-26, AO-01</t>
  </si>
  <si>
    <t xml:space="preserve">Event</t>
  </si>
  <si>
    <t xml:space="preserve">Producer</t>
  </si>
  <si>
    <t xml:space="preserve">Consumers</t>
  </si>
  <si>
    <t xml:space="preserve">Published by (Commerce function)</t>
  </si>
  <si>
    <t xml:space="preserve">Consumed by (Commerce function)</t>
  </si>
  <si>
    <t xml:space="preserve">Status</t>
  </si>
  <si>
    <t xml:space="preserve">Note</t>
  </si>
  <si>
    <t xml:space="preserve">CartCreated</t>
  </si>
  <si>
    <t xml:space="preserve">Commerce</t>
  </si>
  <si>
    <t xml:space="preserve">Notification, Event Log</t>
  </si>
  <si>
    <t xml:space="preserve">In SRS 5.2</t>
  </si>
  <si>
    <t xml:space="preserve">CART-02, CART-10</t>
  </si>
  <si>
    <t xml:space="preserve">CheckoutStarted</t>
  </si>
  <si>
    <t xml:space="preserve">CheckoutCompleted</t>
  </si>
  <si>
    <t xml:space="preserve">Notification</t>
  </si>
  <si>
    <t xml:space="preserve">Not in SRS (proposed)</t>
  </si>
  <si>
    <t xml:space="preserve">Needs SRS 5.2 review</t>
  </si>
  <si>
    <t xml:space="preserve">CheckoutExpired</t>
  </si>
  <si>
    <t xml:space="preserve">Fulfillment, Notification</t>
  </si>
  <si>
    <t xml:space="preserve">CHK-06, ORD-21</t>
  </si>
  <si>
    <t xml:space="preserve">CheckoutCancelled</t>
  </si>
  <si>
    <t xml:space="preserve">OrderCreated</t>
  </si>
  <si>
    <t xml:space="preserve">Notification, Event Log, Auction (orderType=AUCTION)</t>
  </si>
  <si>
    <t xml:space="preserve">CHK-02, AO-01</t>
  </si>
  <si>
    <t xml:space="preserve">Agreed (Auction)</t>
  </si>
  <si>
    <t xml:space="preserve">Auction learns orderId this way; no AuctionOrderCreated event</t>
  </si>
  <si>
    <t xml:space="preserve">OrderCheckoutRequested</t>
  </si>
  <si>
    <t xml:space="preserve">Wallet (WAL-05A)</t>
  </si>
  <si>
    <t xml:space="preserve">Wallet contract</t>
  </si>
  <si>
    <t xml:space="preserve">WALLET path; spec uses temporary Payment request</t>
  </si>
  <si>
    <t xml:space="preserve">OrderPaid</t>
  </si>
  <si>
    <t xml:space="preserve">Fulfillment, Notification, Auction (AUCTION only)</t>
  </si>
  <si>
    <t xml:space="preserve">PAY-01, ORD-21</t>
  </si>
  <si>
    <t xml:space="preserve">Payload per spec 2.3</t>
  </si>
  <si>
    <t xml:space="preserve">OrderPaymentFailed</t>
  </si>
  <si>
    <t xml:space="preserve">Notification; Auction optional</t>
  </si>
  <si>
    <t xml:space="preserve">Auction does not need it</t>
  </si>
  <si>
    <t xml:space="preserve">OrderCancelled</t>
  </si>
  <si>
    <t xml:space="preserve">Fulfillment, Notification, Auction (AUCTION), User</t>
  </si>
  <si>
    <t xml:space="preserve">CHK-05, CHK-06, ORD-05, ORD-06, ORD-09, ORD-21, ORD-22, AO-04</t>
  </si>
  <si>
    <t xml:space="preserve">reasonCode frozen to 5 values</t>
  </si>
  <si>
    <t xml:space="preserve">OrderConfirmed</t>
  </si>
  <si>
    <t xml:space="preserve">Fulfillment-Shipping, Notification</t>
  </si>
  <si>
    <t xml:space="preserve">PROPOSED (spec 2.4.5)</t>
  </si>
  <si>
    <t xml:space="preserve">Renamed from OrderSellerAccepted; Fulfillment FUL-13 must switch (G13)</t>
  </si>
  <si>
    <t xml:space="preserve">OrderShipped</t>
  </si>
  <si>
    <t xml:space="preserve">OrderDelivered</t>
  </si>
  <si>
    <t xml:space="preserve">ORD-10, ORD-12</t>
  </si>
  <si>
    <t xml:space="preserve">Notification, User (rating)</t>
  </si>
  <si>
    <t xml:space="preserve">ORD-07, ORD-08, ORD-12</t>
  </si>
  <si>
    <t xml:space="preserve">Seller payout is OPEN (OQ-24)</t>
  </si>
  <si>
    <t xml:space="preserve">Payment / Wallet WAL-06</t>
  </si>
  <si>
    <t xml:space="preserve">PAY-01, ORD-05, ORD-06, ORD-09, ORD-13</t>
  </si>
  <si>
    <t xml:space="preserve">InvoiceGenerated</t>
  </si>
  <si>
    <t xml:space="preserve">COM-INV-002 has no event name</t>
  </si>
  <si>
    <t xml:space="preserve">Auction</t>
  </si>
  <si>
    <t xml:space="preserve">Commerce AO-01</t>
  </si>
  <si>
    <t xml:space="preserve">Emitted when the winner is determined, before payment; paymentDeadlineAt + skuId required</t>
  </si>
  <si>
    <t xml:space="preserve">AuctionWon</t>
  </si>
  <si>
    <t xml:space="preserve">Notification only</t>
  </si>
  <si>
    <t xml:space="preserve">Commerce ignores it</t>
  </si>
  <si>
    <t xml:space="preserve">Commerce AO-05</t>
  </si>
  <si>
    <t xml:space="preserve">Existing order: log + alert Support only</t>
  </si>
  <si>
    <t xml:space="preserve">AuctionPaymentTimedOut</t>
  </si>
  <si>
    <t xml:space="preserve">User / others</t>
  </si>
  <si>
    <t xml:space="preserve">Auction-owned</t>
  </si>
  <si>
    <t xml:space="preserve">Emitted by Auction after OrderCancelled(PAYMENT_TIMEOUT); NOT used to deduct reputation (spec 2.6)</t>
  </si>
  <si>
    <t xml:space="preserve">PaymentSucceeded / PaymentFailed / PaymentExpired</t>
  </si>
  <si>
    <t xml:space="preserve">Payment</t>
  </si>
  <si>
    <t xml:space="preserve">Commerce PAY-01</t>
  </si>
  <si>
    <t xml:space="preserve">Temporary names (OQ-17)</t>
  </si>
  <si>
    <t xml:space="preserve">Behind an adapter; Wallet WalletDebitedSuccess / WalletDebitFailed are the candidates</t>
  </si>
  <si>
    <t xml:space="preserve">WalletDebitedSuccess</t>
  </si>
  <si>
    <t xml:space="preserve">WalletDebitFailed</t>
  </si>
  <si>
    <t xml:space="preserve">RefundCompleted / RefundFailed</t>
  </si>
  <si>
    <t xml:space="preserve">Commerce ORD-14</t>
  </si>
  <si>
    <t xml:space="preserve">WalletRefunded is the Wallet candidate; no failure event yet (G05)</t>
  </si>
  <si>
    <t xml:space="preserve">WalletRefunded</t>
  </si>
  <si>
    <t xml:space="preserve">ShipmentPickedUp / ShipmentInTransit / ShipmentReturned</t>
  </si>
  <si>
    <t xml:space="preserve">Fulfillment</t>
  </si>
  <si>
    <t xml:space="preserve">Commerce ORD-10</t>
  </si>
  <si>
    <t xml:space="preserve">Not emitted yet</t>
  </si>
  <si>
    <t xml:space="preserve">FUL-17 emits only Delivered / DeliveryFailed (G07)</t>
  </si>
  <si>
    <t xml:space="preserve">ShipmentDelivered</t>
  </si>
  <si>
    <t xml:space="preserve">In SRS 5.3</t>
  </si>
  <si>
    <t xml:space="preserve">ShipmentFailed</t>
  </si>
  <si>
    <t xml:space="preserve">Log + alert only</t>
  </si>
  <si>
    <t xml:space="preserve">InventoryReserved</t>
  </si>
  <si>
    <t xml:space="preserve">Commerce CHK-02</t>
  </si>
  <si>
    <t xml:space="preserve">Sync vs event is OQ-07</t>
  </si>
  <si>
    <t xml:space="preserve">InventoryReservationFailed</t>
  </si>
  <si>
    <t xml:space="preserve">PROPOSED (spec)</t>
  </si>
  <si>
    <t xml:space="preserve">Compensation trigger</t>
  </si>
  <si>
    <t xml:space="preserve">InventoryReleased</t>
  </si>
  <si>
    <t xml:space="preserve">Commerce ORD-22</t>
  </si>
  <si>
    <t xml:space="preserve">InventoryReservationExpired</t>
  </si>
  <si>
    <t xml:space="preserve">Safety net only</t>
  </si>
  <si>
    <t xml:space="preserve">ProductDeleted / ProductStatusChanged</t>
  </si>
  <si>
    <t xml:space="preserve">Commerce CART-11</t>
  </si>
  <si>
    <t xml:space="preserve">UserDeleted</t>
  </si>
  <si>
    <t xml:space="preserve">User</t>
  </si>
  <si>
    <t xml:space="preserve">Functions.xlsx</t>
  </si>
  <si>
    <t xml:space="preserve">Admin/Config</t>
  </si>
  <si>
    <t xml:space="preserve">Commerce ORD-26</t>
  </si>
  <si>
    <t xml:space="preserve">SRS 2.8</t>
  </si>
  <si>
    <t xml:space="preserve">Service</t>
  </si>
  <si>
    <t xml:space="preserve">Commerce functions</t>
  </si>
  <si>
    <t xml:space="preserve">Contract</t>
  </si>
  <si>
    <t xml:space="preserve">CART-01; CART-02; CART-03; CART-06; CHK-01; CHK-02; CART-10; AO-01</t>
  </si>
  <si>
    <t xml:space="preserve">Sync REST CAT-39 (purchasable check + price) and CAT-24 (display data); NOT skus:batch-get</t>
  </si>
  <si>
    <t xml:space="preserve">Adjust (G09)</t>
  </si>
  <si>
    <t xml:space="preserve">Events ProductDeleted / ProductStatusChanged</t>
  </si>
  <si>
    <t xml:space="preserve">Agreed</t>
  </si>
  <si>
    <t xml:space="preserve">Catalog (CAT-26/27) calls Commerce rating-eligibility</t>
  </si>
  <si>
    <t xml:space="preserve">NEW (Commerce owns)</t>
  </si>
  <si>
    <t xml:space="preserve">Fulfillment - Inventory</t>
  </si>
  <si>
    <t xml:space="preserve">CART-01; CART-02; CART-03; CART-06</t>
  </si>
  <si>
    <t xml:space="preserve">FUL-04 availability batch (soft check, cache 30s)</t>
  </si>
  <si>
    <t xml:space="preserve">Reserve stock for the whole group before TX-2; FUL-06 is event-per-order</t>
  </si>
  <si>
    <t xml:space="preserve">Mismatch (G06)</t>
  </si>
  <si>
    <t xml:space="preserve">CHK-05; CHK-06; ORD-05; ORD-06; ORD-09; AO-05</t>
  </si>
  <si>
    <t xml:space="preserve">Release via OrderCancelled (FUL-10)</t>
  </si>
  <si>
    <t xml:space="preserve">InventoryReleased (FUL-11)</t>
  </si>
  <si>
    <t xml:space="preserve">Fulfillment - Shipping</t>
  </si>
  <si>
    <t xml:space="preserve">CHK-01; CHK-02; AO-02</t>
  </si>
  <si>
    <t xml:space="preserve">Quote FUL-12 (timeout 3s); fee frozen into order</t>
  </si>
  <si>
    <t xml:space="preserve">ORD-04; PAY-01</t>
  </si>
  <si>
    <t xml:space="preserve">OrderConfirmed (FUL-13, name to switch) / OrderPaid (FUL-09) trigger shipments</t>
  </si>
  <si>
    <t xml:space="preserve">FUL-18/19/20 shipment tracking (degrade to null)</t>
  </si>
  <si>
    <t xml:space="preserve">Shipment events</t>
  </si>
  <si>
    <t xml:space="preserve">Partially emitted (G07)</t>
  </si>
  <si>
    <t xml:space="preserve">Wallet (Payment split)</t>
  </si>
  <si>
    <t xml:space="preserve">WAL-02 balance</t>
  </si>
  <si>
    <t xml:space="preserve">CHK-03; AO-03</t>
  </si>
  <si>
    <t xml:space="preserve">WAL-05A event / WAL-05B HTTP</t>
  </si>
  <si>
    <t xml:space="preserve">Adjust (G05)</t>
  </si>
  <si>
    <t xml:space="preserve">WalletDebitedSuccess / WalletDebitFailed</t>
  </si>
  <si>
    <t xml:space="preserve">CHK-06; ORD-21; AO-04</t>
  </si>
  <si>
    <t xml:space="preserve">Payment status lookup by referenceId</t>
  </si>
  <si>
    <t xml:space="preserve">Undefined (G05)</t>
  </si>
  <si>
    <t xml:space="preserve">ORD-05; ORD-06; ORD-09; ORD-13; PAY-01</t>
  </si>
  <si>
    <t xml:space="preserve">OrderRefundRequested -&gt; WAL-06</t>
  </si>
  <si>
    <t xml:space="preserve">WalletRefunded (no failed event)</t>
  </si>
  <si>
    <t xml:space="preserve">Gap (G05)</t>
  </si>
  <si>
    <t xml:space="preserve">Reputation / status-trust check (GRPC-04 equivalent)</t>
  </si>
  <si>
    <t xml:space="preserve">Undefined (G11)</t>
  </si>
  <si>
    <t xml:space="preserve">ORD-01; ORD-11</t>
  </si>
  <si>
    <t xml:space="preserve">Batch name lookup</t>
  </si>
  <si>
    <t xml:space="preserve">ORD-05; ORD-09; AO-05</t>
  </si>
  <si>
    <t xml:space="preserve">Penalty is applied by User on its own events (SellerRejected / Auction events)</t>
  </si>
  <si>
    <t xml:space="preserve">Open (G04, G13)</t>
  </si>
  <si>
    <t xml:space="preserve">REVIEW-01 calls Commerce rating-eligibility</t>
  </si>
  <si>
    <t xml:space="preserve">PAY-01; ORD-04..ORD-10; ORD-15</t>
  </si>
  <si>
    <t xml:space="preserve">Events (see Event_Catalog)</t>
  </si>
  <si>
    <t xml:space="preserve">Partially subscribed (G13)</t>
  </si>
  <si>
    <t xml:space="preserve">ORD-15; ORD-16</t>
  </si>
  <si>
    <t xml:space="preserve">PDF upload + presigned URL</t>
  </si>
  <si>
    <t xml:space="preserve">Assumed</t>
  </si>
  <si>
    <t xml:space="preserve">Outbox publisher</t>
  </si>
  <si>
    <t xml:space="preserve">Undecided (G24)</t>
  </si>
  <si>
    <t xml:space="preserve">AuctionSettled (spec 2.5.3, AGREED); AuctionWon ignored</t>
  </si>
  <si>
    <t xml:space="preserve">Agreed (OQ-22/23 pending)</t>
  </si>
  <si>
    <t xml:space="preserve">OrderCreated(orderType=AUCTION) back to Auction</t>
  </si>
  <si>
    <t xml:space="preserve">PAY-01; ORD-05; ORD-06; ORD-09; AO-04</t>
  </si>
  <si>
    <t xml:space="preserve">OrderPaid / OrderCancelled consumed by Auction (AUCTION only); OrderPaymentFailed optional</t>
  </si>
  <si>
    <t xml:space="preserve">Commerce enforces deadline; emits OrderCancelled(PAYMENT_TIMEOUT); no CheckPaymentDeadline call</t>
  </si>
  <si>
    <t xml:space="preserve">AuctionCancelled (log + alert only)</t>
  </si>
  <si>
    <t xml:space="preserve">ORD-05; ORD-09; AO-04</t>
  </si>
  <si>
    <t xml:space="preserve">Penalty owner is User/Auction (OQ-03); Commerce does not deduct reputation</t>
  </si>
  <si>
    <t xml:space="preserve">Open (G04)</t>
  </si>
  <si>
    <t xml:space="preserve">TC ID</t>
  </si>
  <si>
    <t xml:space="preserve">Function ID</t>
  </si>
  <si>
    <t xml:space="preserve">Type</t>
  </si>
  <si>
    <t xml:space="preserve">Level</t>
  </si>
  <si>
    <t xml:space="preserve">Title</t>
  </si>
  <si>
    <t xml:space="preserve">Precondition</t>
  </si>
  <si>
    <t xml:space="preserve">Steps</t>
  </si>
  <si>
    <t xml:space="preserve">Expected result</t>
  </si>
  <si>
    <t xml:space="preserve">TC-CART-01-01</t>
  </si>
  <si>
    <t xml:space="preserve">Functional</t>
  </si>
  <si>
    <t xml:space="preserve">Integration</t>
  </si>
  <si>
    <t xml:space="preserve">Happy path: Get my cart</t>
  </si>
  <si>
    <t xml:space="preserve">Valid actor, valid data, dependencies up</t>
  </si>
  <si>
    <t xml:space="preserve">Call GET /api/v1/carts/me with a valid request</t>
  </si>
  <si>
    <t xml:space="preserve">Success status; response matches contract; DB rows and outbox events as listed in Backlog</t>
  </si>
  <si>
    <t xml:space="preserve">Not run</t>
  </si>
  <si>
    <t xml:space="preserve">TC-CART-01-02</t>
  </si>
  <si>
    <t xml:space="preserve">Security</t>
  </si>
  <si>
    <t xml:space="preserve">Authn/Authz: missing token -&gt; 401, wrong role or foreign resource -&gt; 403/404</t>
  </si>
  <si>
    <t xml:space="preserve">Permission required: CART.VIEW / Buyer</t>
  </si>
  <si>
    <t xml:space="preserve">Call GET /api/v1/carts/me without JWT, then with a user of another role/owner</t>
  </si>
  <si>
    <t xml:space="preserve">401 without token; 403 (or 404 to hide existence) for non-owner; no data leak</t>
  </si>
  <si>
    <t xml:space="preserve">TC-CART-01-03</t>
  </si>
  <si>
    <t xml:space="preserve">Business rule</t>
  </si>
  <si>
    <t xml:space="preserve">Unit</t>
  </si>
  <si>
    <t xml:space="preserve">Rule: Virtual empty cart when none</t>
  </si>
  <si>
    <t xml:space="preserve">Data at the rule boundary</t>
  </si>
  <si>
    <t xml:space="preserve">Execute with value just inside and just outside the limit</t>
  </si>
  <si>
    <t xml:space="preserve">Inside accepted, outside rejected with documented code</t>
  </si>
  <si>
    <t xml:space="preserve">TC-CART-01-04</t>
  </si>
  <si>
    <t xml:space="preserve">Contract with: Catalog CAT-39 / CAT-24 (sync, degrade); Fulfillment FUL-04 (sync, optional, cache ~30s)</t>
  </si>
  <si>
    <t xml:space="preserve">Provider stub (Pact/WireMock)</t>
  </si>
  <si>
    <t xml:space="preserve">Verify request/response or event schema; simulate provider timeout</t>
  </si>
  <si>
    <t xml:space="preserve">Schema matches; timeout follows documented degrade/error (see Integration_Map)</t>
  </si>
  <si>
    <t xml:space="preserve">TC-CART-02-01</t>
  </si>
  <si>
    <t xml:space="preserve">Happy path: Add item to cart</t>
  </si>
  <si>
    <t xml:space="preserve">Call POST /api/v1/carts/me/items with a valid request</t>
  </si>
  <si>
    <t xml:space="preserve">TC-CART-02-02</t>
  </si>
  <si>
    <t xml:space="preserve">Negative</t>
  </si>
  <si>
    <t xml:space="preserve">VALIDATION_ERROR -&gt; HTTP 400</t>
  </si>
  <si>
    <t xml:space="preserve">State/input that triggers VALIDATION_ERROR</t>
  </si>
  <si>
    <t xml:space="preserve">Call POST /api/v1/carts/me/items</t>
  </si>
  <si>
    <t xml:space="preserve">HTTP 400 VALIDATION_ERROR; transaction rolled back; no event written to outbox</t>
  </si>
  <si>
    <t xml:space="preserve">TC-CART-02-03</t>
  </si>
  <si>
    <t xml:space="preserve">PRODUCT_NOT_FOUND -&gt; HTTP 404</t>
  </si>
  <si>
    <t xml:space="preserve">State/input that triggers PRODUCT_NOT_FOUND</t>
  </si>
  <si>
    <t xml:space="preserve">HTTP 404 PRODUCT_NOT_FOUND; transaction rolled back; no event written to outbox</t>
  </si>
  <si>
    <t xml:space="preserve">TC-CART-02-04</t>
  </si>
  <si>
    <t xml:space="preserve">PRODUCT_NOT_AVAILABLE -&gt; HTTP 409</t>
  </si>
  <si>
    <t xml:space="preserve">State/input that triggers PRODUCT_NOT_AVAILABLE</t>
  </si>
  <si>
    <t xml:space="preserve">HTTP 409 PRODUCT_NOT_AVAILABLE; transaction rolled back; no event written to outbox</t>
  </si>
  <si>
    <t xml:space="preserve">TC-CART-02-05</t>
  </si>
  <si>
    <t xml:space="preserve">INSUFFICIENT_STOCK -&gt; HTTP 409</t>
  </si>
  <si>
    <t xml:space="preserve">State/input that triggers INSUFFICIENT_STOCK</t>
  </si>
  <si>
    <t xml:space="preserve">HTTP 409 INSUFFICIENT_STOCK; transaction rolled back; no event written to outbox</t>
  </si>
  <si>
    <t xml:space="preserve">TC-CART-02-06</t>
  </si>
  <si>
    <t xml:space="preserve">CART_ITEM_LIMIT_EXCEEDED -&gt; HTTP 409</t>
  </si>
  <si>
    <t xml:space="preserve">State/input that triggers CART_ITEM_LIMIT_EXCEEDED</t>
  </si>
  <si>
    <t xml:space="preserve">HTTP 409 CART_ITEM_LIMIT_EXCEEDED; transaction rolled back; no event written to outbox</t>
  </si>
  <si>
    <t xml:space="preserve">TC-CART-02-07</t>
  </si>
  <si>
    <t xml:space="preserve">CANNOT_BUY_OWN_PRODUCT -&gt; HTTP 409</t>
  </si>
  <si>
    <t xml:space="preserve">State/input that triggers CANNOT_BUY_OWN_PRODUCT</t>
  </si>
  <si>
    <t xml:space="preserve">HTTP 409 CANNOT_BUY_OWN_PRODUCT; transaction rolled back; no event written to outbox</t>
  </si>
  <si>
    <t xml:space="preserve">TC-CART-02-08</t>
  </si>
  <si>
    <t xml:space="preserve">PRODUCT_IN_AUCTION -&gt; HTTP 409</t>
  </si>
  <si>
    <t xml:space="preserve">State/input that triggers PRODUCT_IN_AUCTION</t>
  </si>
  <si>
    <t xml:space="preserve">HTTP 409 PRODUCT_IN_AUCTION; transaction rolled back; no event written to outbox</t>
  </si>
  <si>
    <t xml:space="preserve">TC-CART-02-09</t>
  </si>
  <si>
    <t xml:space="preserve">CART_LOCKED -&gt; HTTP 409</t>
  </si>
  <si>
    <t xml:space="preserve">State/input that triggers CART_LOCKED</t>
  </si>
  <si>
    <t xml:space="preserve">HTTP 409 CART_LOCKED; transaction rolled back; no event written to outbox</t>
  </si>
  <si>
    <t xml:space="preserve">TC-CART-02-10</t>
  </si>
  <si>
    <t xml:space="preserve">CATALOG_UNAVAILABLE -&gt; HTTP 503</t>
  </si>
  <si>
    <t xml:space="preserve">State/input that triggers CATALOG_UNAVAILABLE</t>
  </si>
  <si>
    <t xml:space="preserve">HTTP 503 CATALOG_UNAVAILABLE; transaction rolled back; no event written to outbox</t>
  </si>
  <si>
    <t xml:space="preserve">TC-CART-02-11</t>
  </si>
  <si>
    <t xml:space="preserve">Permission required: CART.UPDATE / Buyer</t>
  </si>
  <si>
    <t xml:space="preserve">Call POST /api/v1/carts/me/items without JWT, then with a user of another role/owner</t>
  </si>
  <si>
    <t xml:space="preserve">TC-CART-02-12</t>
  </si>
  <si>
    <t xml:space="preserve">Idempotency/Concurrency</t>
  </si>
  <si>
    <t xml:space="preserve">Replay and concurrent call</t>
  </si>
  <si>
    <t xml:space="preserve">Send the same request twice / two parallel requests to POST /api/v1/carts/me/items</t>
  </si>
  <si>
    <t xml:space="preserve">Exactly one effect; replay returns same result; loser gets 409 CONCURRENT_UPDATE or replay</t>
  </si>
  <si>
    <t xml:space="preserve">TC-CART-02-13</t>
  </si>
  <si>
    <t xml:space="preserve">Rule: qty 1..MAX_QTY_PER_ITEM(99)</t>
  </si>
  <si>
    <t xml:space="preserve">TC-CART-02-14</t>
  </si>
  <si>
    <t xml:space="preserve">Contract with: Catalog CAT-39 (sync, before TX); Fulfillment FUL-04 (soft check, before TX)</t>
  </si>
  <si>
    <t xml:space="preserve">TC-CART-03-01</t>
  </si>
  <si>
    <t xml:space="preserve">Happy path: Update cart item quantity</t>
  </si>
  <si>
    <t xml:space="preserve">Call PATCH /api/v1/carts/me/items/{cartItemId} with a valid request</t>
  </si>
  <si>
    <t xml:space="preserve">TC-CART-03-02</t>
  </si>
  <si>
    <t xml:space="preserve">Call PATCH /api/v1/carts/me/items/{cartItemId}</t>
  </si>
  <si>
    <t xml:space="preserve">TC-CART-03-03</t>
  </si>
  <si>
    <t xml:space="preserve">CART_ITEM_NOT_FOUND -&gt; HTTP 404</t>
  </si>
  <si>
    <t xml:space="preserve">State/input that triggers CART_ITEM_NOT_FOUND</t>
  </si>
  <si>
    <t xml:space="preserve">HTTP 404 CART_ITEM_NOT_FOUND; transaction rolled back; no event written to outbox</t>
  </si>
  <si>
    <t xml:space="preserve">TC-CART-03-04</t>
  </si>
  <si>
    <t xml:space="preserve">TC-CART-03-05</t>
  </si>
  <si>
    <t xml:space="preserve">TC-CART-03-06</t>
  </si>
  <si>
    <t xml:space="preserve">CONCURRENT_UPDATE -&gt; HTTP 409</t>
  </si>
  <si>
    <t xml:space="preserve">State/input that triggers CONCURRENT_UPDATE</t>
  </si>
  <si>
    <t xml:space="preserve">HTTP 409 CONCURRENT_UPDATE; transaction rolled back; no event written to outbox</t>
  </si>
  <si>
    <t xml:space="preserve">TC-CART-03-07</t>
  </si>
  <si>
    <t xml:space="preserve">TC-CART-03-08</t>
  </si>
  <si>
    <t xml:space="preserve">Call PATCH /api/v1/carts/me/items/{cartItemId} without JWT, then with a user of another role/owner</t>
  </si>
  <si>
    <t xml:space="preserve">TC-CART-03-09</t>
  </si>
  <si>
    <t xml:space="preserve">Send the same request twice / two parallel requests to PATCH /api/v1/carts/me/items/{cartItemId}</t>
  </si>
  <si>
    <t xml:space="preserve">TC-CART-03-10</t>
  </si>
  <si>
    <t xml:space="preserve">Rule: qty&gt;=1 and &lt;=MAX_QTY_PER_ITEM and &lt;= available stock</t>
  </si>
  <si>
    <t xml:space="preserve">TC-CART-03-11</t>
  </si>
  <si>
    <t xml:space="preserve">Contract with: Catalog CAT-39 (sync); Fulfillment FUL-04 (sync)</t>
  </si>
  <si>
    <t xml:space="preserve">TC-CART-04-01</t>
  </si>
  <si>
    <t xml:space="preserve">Happy path: Remove cart item</t>
  </si>
  <si>
    <t xml:space="preserve">Call DELETE /api/v1/carts/me/items/{cartItemId} with a valid request</t>
  </si>
  <si>
    <t xml:space="preserve">TC-CART-04-02</t>
  </si>
  <si>
    <t xml:space="preserve">Call DELETE /api/v1/carts/me/items/{cartItemId}</t>
  </si>
  <si>
    <t xml:space="preserve">TC-CART-04-03</t>
  </si>
  <si>
    <t xml:space="preserve">Permission required: CART.REMOVE_ITEM / Buyer</t>
  </si>
  <si>
    <t xml:space="preserve">Call DELETE /api/v1/carts/me/items/{cartItemId} without JWT, then with a user of another role/owner</t>
  </si>
  <si>
    <t xml:space="preserve">TC-CART-04-04</t>
  </si>
  <si>
    <t xml:space="preserve">Rule: Hard delete of cart_items (no deleted_at)</t>
  </si>
  <si>
    <t xml:space="preserve">TC-CART-05-01</t>
  </si>
  <si>
    <t xml:space="preserve">Happy path: Bulk remove</t>
  </si>
  <si>
    <t xml:space="preserve">Call POST /api/v1/carts/me/items:bulk-remove with a valid request</t>
  </si>
  <si>
    <t xml:space="preserve">TC-CART-05-02</t>
  </si>
  <si>
    <t xml:space="preserve">Call POST /api/v1/carts/me/items:bulk-remove</t>
  </si>
  <si>
    <t xml:space="preserve">TC-CART-05-03</t>
  </si>
  <si>
    <t xml:space="preserve">TC-CART-05-04</t>
  </si>
  <si>
    <t xml:space="preserve">Call POST /api/v1/carts/me/items:bulk-remove without JWT, then with a user of another role/owner</t>
  </si>
  <si>
    <t xml:space="preserve">TC-CART-05-05</t>
  </si>
  <si>
    <t xml:space="preserve">Rule: cartItemIds 1..100 XOR all=true</t>
  </si>
  <si>
    <t xml:space="preserve">TC-CART-06-01</t>
  </si>
  <si>
    <t xml:space="preserve">Happy path: Validate cart</t>
  </si>
  <si>
    <t xml:space="preserve">Call POST /api/v1/carts/me/validate (+ internal CartValidator dùng lại ở CHK-01/02) with a valid request</t>
  </si>
  <si>
    <t xml:space="preserve">TC-CART-06-02</t>
  </si>
  <si>
    <t xml:space="preserve">CART_EMPTY -&gt; HTTP 409</t>
  </si>
  <si>
    <t xml:space="preserve">State/input that triggers CART_EMPTY</t>
  </si>
  <si>
    <t xml:space="preserve">Call POST /api/v1/carts/me/validate (+ internal CartValidator dùng lại ở CHK-01/02)</t>
  </si>
  <si>
    <t xml:space="preserve">HTTP 409 CART_EMPTY; transaction rolled back; no event written to outbox</t>
  </si>
  <si>
    <t xml:space="preserve">TC-CART-06-03</t>
  </si>
  <si>
    <t xml:space="preserve">TC-CART-06-04</t>
  </si>
  <si>
    <t xml:space="preserve">Call POST /api/v1/carts/me/validate (+ internal CartValidator dùng lại ở CHK-01/02) without JWT, then with a user of another role/owner</t>
  </si>
  <si>
    <t xml:space="preserve">TC-CART-06-05</t>
  </si>
  <si>
    <t xml:space="preserve">Rule: Report only, never auto-fix the cart</t>
  </si>
  <si>
    <t xml:space="preserve">TC-CART-06-06</t>
  </si>
  <si>
    <t xml:space="preserve">Contract with: Catalog CAT-39 / CAT-24 (sync); Fulfillment FUL-04 (sync)</t>
  </si>
  <si>
    <t xml:space="preserve">TC-CART-07-01</t>
  </si>
  <si>
    <t xml:space="preserve">Unit: Cart price calculation</t>
  </si>
  <si>
    <t xml:space="preserve">Valid inputs</t>
  </si>
  <si>
    <t xml:space="preserve">Call PricingService.calculate(items, address?, vouchers?)</t>
  </si>
  <si>
    <t xml:space="preserve">Expected result per rule: Shared pricing: product discount -&gt; shop discount -&gt; markup -&gt; system voucher -&gt; ship</t>
  </si>
  <si>
    <t xml:space="preserve">TC-CART-07-02</t>
  </si>
  <si>
    <t xml:space="preserve">Boundary</t>
  </si>
  <si>
    <t xml:space="preserve">Boundary and invalid inputs</t>
  </si>
  <si>
    <t xml:space="preserve">Edge values</t>
  </si>
  <si>
    <t xml:space="preserve">Call PricingService.calculate(items, address?, vouchers?) with limits</t>
  </si>
  <si>
    <t xml:space="preserve">Correct result or domain exception</t>
  </si>
  <si>
    <t xml:space="preserve">TC-CART-07-03</t>
  </si>
  <si>
    <t xml:space="preserve">Invariant / concurrency: Pure function</t>
  </si>
  <si>
    <t xml:space="preserve">Parallel callers or repeated call</t>
  </si>
  <si>
    <t xml:space="preserve">Call PricingService.calculate(items, address?, vouchers?) concurrently / repeatedly</t>
  </si>
  <si>
    <t xml:space="preserve">Invariant holds (Shared pricing: product discount -&gt; shop discount -&gt; markup -&gt; system voucher -&gt; ship; inv)</t>
  </si>
  <si>
    <t xml:space="preserve">TC-CART-07-04</t>
  </si>
  <si>
    <t xml:space="preserve">Contract with: DSC-02 (internal call)</t>
  </si>
  <si>
    <t xml:space="preserve">TC-CART-08-01</t>
  </si>
  <si>
    <t xml:space="preserve">Happy path: Cart summary (badge)</t>
  </si>
  <si>
    <t xml:space="preserve">Call GET /api/v1/carts/me/summary with a valid request</t>
  </si>
  <si>
    <t xml:space="preserve">TC-CART-08-02</t>
  </si>
  <si>
    <t xml:space="preserve">Call GET /api/v1/carts/me/summary without JWT, then with a user of another role/owner</t>
  </si>
  <si>
    <t xml:space="preserve">TC-CART-08-03</t>
  </si>
  <si>
    <t xml:space="preserve">Rule: Reads denormalized item_count and subtotal_amount</t>
  </si>
  <si>
    <t xml:space="preserve">TC-CART-09-01</t>
  </si>
  <si>
    <t xml:space="preserve">Job processes eligible rows (chạy mỗi giờ (@Scheduled + ShedLock))</t>
  </si>
  <si>
    <t xml:space="preserve">Seed rows past the threshold</t>
  </si>
  <si>
    <t xml:space="preserve">Run the job once</t>
  </si>
  <si>
    <t xml:space="preserve">Eligible rows transitioned, history/outbox written, ineligible rows untouched</t>
  </si>
  <si>
    <t xml:space="preserve">TC-CART-09-02</t>
  </si>
  <si>
    <t xml:space="preserve">Row just before threshold is not touched</t>
  </si>
  <si>
    <t xml:space="preserve">Row at threshold-1s</t>
  </si>
  <si>
    <t xml:space="preserve">Run the job</t>
  </si>
  <si>
    <t xml:space="preserve">No change</t>
  </si>
  <si>
    <t xml:space="preserve">TC-CART-09-03</t>
  </si>
  <si>
    <t xml:space="preserve">Two instances run at once</t>
  </si>
  <si>
    <t xml:space="preserve">Same eligible rows</t>
  </si>
  <si>
    <t xml:space="preserve">Start 2 job instances in parallel</t>
  </si>
  <si>
    <t xml:space="preserve">No row processed twice (SKIP LOCKED / ShedLock)</t>
  </si>
  <si>
    <t xml:space="preserve">TC-CART-10-01</t>
  </si>
  <si>
    <t xml:space="preserve">Happy path: Merge guest cart on login</t>
  </si>
  <si>
    <t xml:space="preserve">Call POST /api/v1/carts/me/merge with a valid request</t>
  </si>
  <si>
    <t xml:space="preserve">TC-CART-10-02</t>
  </si>
  <si>
    <t xml:space="preserve">Call POST /api/v1/carts/me/merge</t>
  </si>
  <si>
    <t xml:space="preserve">TC-CART-10-03</t>
  </si>
  <si>
    <t xml:space="preserve">TC-CART-10-04</t>
  </si>
  <si>
    <t xml:space="preserve">Call POST /api/v1/carts/me/merge without JWT, then with a user of another role/owner</t>
  </si>
  <si>
    <t xml:space="preserve">TC-CART-10-05</t>
  </si>
  <si>
    <t xml:space="preserve">Rule: &lt;=50 items</t>
  </si>
  <si>
    <t xml:space="preserve">TC-CART-10-06</t>
  </si>
  <si>
    <t xml:space="preserve">Contract with: Catalog CAT-39; Fulfillment FUL-04</t>
  </si>
  <si>
    <t xml:space="preserve">TC-CART-11-01</t>
  </si>
  <si>
    <t xml:space="preserve">Consume event (ProductDeleted; ProductStatusChanged; UserDeleted)</t>
  </si>
  <si>
    <t xml:space="preserve">Valid event, state allows transition</t>
  </si>
  <si>
    <t xml:space="preserve">Publish event to the queue</t>
  </si>
  <si>
    <t xml:space="preserve">State updated, inbox row PROCESSED, follow-up events written</t>
  </si>
  <si>
    <t xml:space="preserve">TC-CART-11-02</t>
  </si>
  <si>
    <t xml:space="preserve">Duplicate delivery (same eventId)</t>
  </si>
  <si>
    <t xml:space="preserve">Event already processed</t>
  </si>
  <si>
    <t xml:space="preserve">Publish the same event again</t>
  </si>
  <si>
    <t xml:space="preserve">Skipped via inbox; no second effect</t>
  </si>
  <si>
    <t xml:space="preserve">TC-CART-11-03</t>
  </si>
  <si>
    <t xml:space="preserve">Unknown entity / invalid state / out-of-order event</t>
  </si>
  <si>
    <t xml:space="preserve">Order missing or in terminal state</t>
  </si>
  <si>
    <t xml:space="preserve">Publish event</t>
  </si>
  <si>
    <t xml:space="preserve">No exception loop; inbox FAILED or SKIPPED with log/alert as documented</t>
  </si>
  <si>
    <t xml:space="preserve">TC-CART-11-04</t>
  </si>
  <si>
    <t xml:space="preserve">Contract with: Catalog / User events</t>
  </si>
  <si>
    <t xml:space="preserve">TC-CHK-01-01</t>
  </si>
  <si>
    <t xml:space="preserve">Happy path: Checkout preview</t>
  </si>
  <si>
    <t xml:space="preserve">Call POST /api/v1/checkout/preview with a valid request</t>
  </si>
  <si>
    <t xml:space="preserve">TC-CHK-01-02</t>
  </si>
  <si>
    <t xml:space="preserve">Call POST /api/v1/checkout/preview</t>
  </si>
  <si>
    <t xml:space="preserve">TC-CHK-01-03</t>
  </si>
  <si>
    <t xml:space="preserve">CART_INVALID -&gt; HTTP 409</t>
  </si>
  <si>
    <t xml:space="preserve">State/input that triggers CART_INVALID</t>
  </si>
  <si>
    <t xml:space="preserve">HTTP 409 CART_INVALID; transaction rolled back; no event written to outbox</t>
  </si>
  <si>
    <t xml:space="preserve">TC-CHK-01-04</t>
  </si>
  <si>
    <t xml:space="preserve">Permission required: CHECKOUT.START / Buyer</t>
  </si>
  <si>
    <t xml:space="preserve">Call POST /api/v1/checkout/preview without JWT, then with a user of another role/owner</t>
  </si>
  <si>
    <t xml:space="preserve">TC-CHK-01-05</t>
  </si>
  <si>
    <t xml:space="preserve">Rule: Split by seller</t>
  </si>
  <si>
    <t xml:space="preserve">TC-CHK-01-06</t>
  </si>
  <si>
    <t xml:space="preserve">Contract with: Catalog CAT-39/24; Fulfillment FUL-12 shipping quote (timeout 3000ms); Wallet WAL-02 balance</t>
  </si>
  <si>
    <t xml:space="preserve">TC-CHK-02-01</t>
  </si>
  <si>
    <t xml:space="preserve">Happy path: Create checkout (group + orders)</t>
  </si>
  <si>
    <t xml:space="preserve">Call POST /api/v1/checkout with a valid request</t>
  </si>
  <si>
    <t xml:space="preserve">TC-CHK-02-02</t>
  </si>
  <si>
    <t xml:space="preserve">Call POST /api/v1/checkout</t>
  </si>
  <si>
    <t xml:space="preserve">TC-CHK-02-03</t>
  </si>
  <si>
    <t xml:space="preserve">PRICE_CHANGED -&gt; HTTP 409</t>
  </si>
  <si>
    <t xml:space="preserve">State/input that triggers PRICE_CHANGED</t>
  </si>
  <si>
    <t xml:space="preserve">HTTP 409 PRICE_CHANGED; transaction rolled back; no event written to outbox</t>
  </si>
  <si>
    <t xml:space="preserve">TC-CHK-02-04</t>
  </si>
  <si>
    <t xml:space="preserve">TC-CHK-02-05</t>
  </si>
  <si>
    <t xml:space="preserve">CHECKOUT_ALREADY_OPEN -&gt; HTTP 409</t>
  </si>
  <si>
    <t xml:space="preserve">State/input that triggers CHECKOUT_ALREADY_OPEN</t>
  </si>
  <si>
    <t xml:space="preserve">HTTP 409 CHECKOUT_ALREADY_OPEN; transaction rolled back; no event written to outbox</t>
  </si>
  <si>
    <t xml:space="preserve">TC-CHK-02-06</t>
  </si>
  <si>
    <t xml:space="preserve">TC-CHK-02-07</t>
  </si>
  <si>
    <t xml:space="preserve">VOUCHER_INVALID -&gt; HTTP 409</t>
  </si>
  <si>
    <t xml:space="preserve">State/input that triggers VOUCHER_INVALID</t>
  </si>
  <si>
    <t xml:space="preserve">HTTP 409 VOUCHER_INVALID; transaction rolled back; no event written to outbox</t>
  </si>
  <si>
    <t xml:space="preserve">TC-CHK-02-08</t>
  </si>
  <si>
    <t xml:space="preserve">REPUTATION_RESTRICTED -&gt; HTTP 403</t>
  </si>
  <si>
    <t xml:space="preserve">State/input that triggers REPUTATION_RESTRICTED</t>
  </si>
  <si>
    <t xml:space="preserve">HTTP 403 REPUTATION_RESTRICTED; transaction rolled back; no event written to outbox</t>
  </si>
  <si>
    <t xml:space="preserve">TC-CHK-02-09</t>
  </si>
  <si>
    <t xml:space="preserve">IDEMPOTENCY_KEY_CONFLICT -&gt; HTTP 409</t>
  </si>
  <si>
    <t xml:space="preserve">State/input that triggers IDEMPOTENCY_KEY_CONFLICT</t>
  </si>
  <si>
    <t xml:space="preserve">HTTP 409 IDEMPOTENCY_KEY_CONFLICT; transaction rolled back; no event written to outbox</t>
  </si>
  <si>
    <t xml:space="preserve">TC-CHK-02-10</t>
  </si>
  <si>
    <t xml:space="preserve">REQUEST_IN_PROGRESS -&gt; HTTP 409</t>
  </si>
  <si>
    <t xml:space="preserve">State/input that triggers REQUEST_IN_PROGRESS</t>
  </si>
  <si>
    <t xml:space="preserve">HTTP 409 REQUEST_IN_PROGRESS; transaction rolled back; no event written to outbox</t>
  </si>
  <si>
    <t xml:space="preserve">TC-CHK-02-11</t>
  </si>
  <si>
    <t xml:space="preserve">FULFILLMENT_UNAVAILABLE -&gt; HTTP 503</t>
  </si>
  <si>
    <t xml:space="preserve">State/input that triggers FULFILLMENT_UNAVAILABLE</t>
  </si>
  <si>
    <t xml:space="preserve">HTTP 503 FULFILLMENT_UNAVAILABLE; transaction rolled back; no event written to outbox</t>
  </si>
  <si>
    <t xml:space="preserve">TC-CHK-02-12</t>
  </si>
  <si>
    <t xml:space="preserve">Permission required: CHECKOUT.START + ORDER.CREATE / Buyer</t>
  </si>
  <si>
    <t xml:space="preserve">Call POST /api/v1/checkout without JWT, then with a user of another role/owner</t>
  </si>
  <si>
    <t xml:space="preserve">TC-CHK-02-13</t>
  </si>
  <si>
    <t xml:space="preserve">Send the same request twice / two parallel requests to POST /api/v1/checkout</t>
  </si>
  <si>
    <t xml:space="preserve">TC-CHK-02-14</t>
  </si>
  <si>
    <t xml:space="preserve">Rule: 1 cart -&gt; 1 checkout_group + N orders (per seller)</t>
  </si>
  <si>
    <t xml:space="preserve">TC-CHK-02-15</t>
  </si>
  <si>
    <t xml:space="preserve">Contract with: Catalog CAT-39 (re-price); User status-trust (GRPC-04 equivalent, undefined); Fulfillment inventory reservatio</t>
  </si>
  <si>
    <t xml:space="preserve">TC-CHK-03-01</t>
  </si>
  <si>
    <t xml:space="preserve">Happy path: Pay checkout group</t>
  </si>
  <si>
    <t xml:space="preserve">Call POST /api/v1/checkout-groups/{checkoutGroupId}/pay with a valid request</t>
  </si>
  <si>
    <t xml:space="preserve">TC-CHK-03-02</t>
  </si>
  <si>
    <t xml:space="preserve">CHECKOUT_GROUP_NOT_FOUND -&gt; HTTP 404</t>
  </si>
  <si>
    <t xml:space="preserve">State/input that triggers CHECKOUT_GROUP_NOT_FOUND</t>
  </si>
  <si>
    <t xml:space="preserve">Call POST /api/v1/checkout-groups/{checkoutGroupId}/pay</t>
  </si>
  <si>
    <t xml:space="preserve">HTTP 404 CHECKOUT_GROUP_NOT_FOUND; transaction rolled back; no event written to outbox</t>
  </si>
  <si>
    <t xml:space="preserve">TC-CHK-03-03</t>
  </si>
  <si>
    <t xml:space="preserve">CHECKOUT_NOT_PAYABLE -&gt; HTTP 409</t>
  </si>
  <si>
    <t xml:space="preserve">State/input that triggers CHECKOUT_NOT_PAYABLE</t>
  </si>
  <si>
    <t xml:space="preserve">HTTP 409 CHECKOUT_NOT_PAYABLE; transaction rolled back; no event written to outbox</t>
  </si>
  <si>
    <t xml:space="preserve">TC-CHK-03-04</t>
  </si>
  <si>
    <t xml:space="preserve">DEADLINE_EXPIRED -&gt; HTTP 410</t>
  </si>
  <si>
    <t xml:space="preserve">State/input that triggers DEADLINE_EXPIRED</t>
  </si>
  <si>
    <t xml:space="preserve">HTTP 410 DEADLINE_EXPIRED; transaction rolled back; no event written to outbox</t>
  </si>
  <si>
    <t xml:space="preserve">TC-CHK-03-05</t>
  </si>
  <si>
    <t xml:space="preserve">INSUFFICIENT_WALLET_BALANCE -&gt; HTTP 402</t>
  </si>
  <si>
    <t xml:space="preserve">State/input that triggers INSUFFICIENT_WALLET_BALANCE</t>
  </si>
  <si>
    <t xml:space="preserve">HTTP 402 INSUFFICIENT_WALLET_BALANCE; transaction rolled back; no event written to outbox</t>
  </si>
  <si>
    <t xml:space="preserve">TC-CHK-03-06</t>
  </si>
  <si>
    <t xml:space="preserve">PAYMENT_ATTEMPT_LIMIT_REACHED -&gt; HTTP 409</t>
  </si>
  <si>
    <t xml:space="preserve">State/input that triggers PAYMENT_ATTEMPT_LIMIT_REACHED</t>
  </si>
  <si>
    <t xml:space="preserve">HTTP 409 PAYMENT_ATTEMPT_LIMIT_REACHED; transaction rolled back; no event written to outbox</t>
  </si>
  <si>
    <t xml:space="preserve">TC-CHK-03-07</t>
  </si>
  <si>
    <t xml:space="preserve">PAYMENT_GATEWAY_ERROR -&gt; HTTP 502</t>
  </si>
  <si>
    <t xml:space="preserve">State/input that triggers PAYMENT_GATEWAY_ERROR</t>
  </si>
  <si>
    <t xml:space="preserve">HTTP 502 PAYMENT_GATEWAY_ERROR; transaction rolled back; no event written to outbox</t>
  </si>
  <si>
    <t xml:space="preserve">TC-CHK-03-08</t>
  </si>
  <si>
    <t xml:space="preserve">PAYMENT_PROCESSING -&gt; HTTP 202</t>
  </si>
  <si>
    <t xml:space="preserve">State/input that triggers PAYMENT_PROCESSING</t>
  </si>
  <si>
    <t xml:space="preserve">HTTP 202 PAYMENT_PROCESSING; transaction rolled back; no event written to outbox</t>
  </si>
  <si>
    <t xml:space="preserve">TC-CHK-03-09</t>
  </si>
  <si>
    <t xml:space="preserve">Permission required: CHECKOUT.PAY (NEW) / Buyer</t>
  </si>
  <si>
    <t xml:space="preserve">Call POST /api/v1/checkout-groups/{checkoutGroupId}/pay without JWT, then with a user of another role/owner</t>
  </si>
  <si>
    <t xml:space="preserve">TC-CHK-03-10</t>
  </si>
  <si>
    <t xml:space="preserve">Send the same request twice / two parallel requests to POST /api/v1/checkout-groups/{checkoutGroupId}/pay</t>
  </si>
  <si>
    <t xml:space="preserve">TC-CHK-03-11</t>
  </si>
  <si>
    <t xml:space="preserve">Rule: Never returns PAID synchronously (202 PAYMENT_PROCESSING</t>
  </si>
  <si>
    <t xml:space="preserve">TC-CHK-03-12</t>
  </si>
  <si>
    <t xml:space="preserve">Contract with: Wallet WAL-05A (event) / WAL-05B (HTTP); payment status query (undefined)</t>
  </si>
  <si>
    <t xml:space="preserve">TC-CHK-04-01</t>
  </si>
  <si>
    <t xml:space="preserve">Happy path: Get checkout group</t>
  </si>
  <si>
    <t xml:space="preserve">Call GET /api/v1/checkout-groups/{checkoutGroupId} with a valid request</t>
  </si>
  <si>
    <t xml:space="preserve">TC-CHK-04-02</t>
  </si>
  <si>
    <t xml:space="preserve">Call GET /api/v1/checkout-groups/{checkoutGroupId}</t>
  </si>
  <si>
    <t xml:space="preserve">TC-CHK-04-03</t>
  </si>
  <si>
    <t xml:space="preserve">Permission required: ORDER.VIEW / Buyer (own)</t>
  </si>
  <si>
    <t xml:space="preserve">Call GET /api/v1/checkout-groups/{checkoutGroupId} without JWT, then with a user of another role/owner</t>
  </si>
  <si>
    <t xml:space="preserve">TC-CHK-04-04</t>
  </si>
  <si>
    <t xml:space="preserve">Rule: Own group only (404 otherwise)</t>
  </si>
  <si>
    <t xml:space="preserve">TC-CHK-05-01</t>
  </si>
  <si>
    <t xml:space="preserve">Happy path: Cancel checkout group</t>
  </si>
  <si>
    <t xml:space="preserve">Call POST /api/v1/checkout-groups/{checkoutGroupId}/cancel with a valid request</t>
  </si>
  <si>
    <t xml:space="preserve">TC-CHK-05-02</t>
  </si>
  <si>
    <t xml:space="preserve">CHECKOUT_NOT_CANCELLABLE -&gt; HTTP 409</t>
  </si>
  <si>
    <t xml:space="preserve">State/input that triggers CHECKOUT_NOT_CANCELLABLE</t>
  </si>
  <si>
    <t xml:space="preserve">Call POST /api/v1/checkout-groups/{checkoutGroupId}/cancel</t>
  </si>
  <si>
    <t xml:space="preserve">HTTP 409 CHECKOUT_NOT_CANCELLABLE; transaction rolled back; no event written to outbox</t>
  </si>
  <si>
    <t xml:space="preserve">TC-CHK-05-03</t>
  </si>
  <si>
    <t xml:space="preserve">PAYMENT_IN_PROGRESS -&gt; HTTP 409</t>
  </si>
  <si>
    <t xml:space="preserve">State/input that triggers PAYMENT_IN_PROGRESS</t>
  </si>
  <si>
    <t xml:space="preserve">HTTP 409 PAYMENT_IN_PROGRESS; transaction rolled back; no event written to outbox</t>
  </si>
  <si>
    <t xml:space="preserve">TC-CHK-05-04</t>
  </si>
  <si>
    <t xml:space="preserve">Permission required: ORDER.CANCEL / Buyer</t>
  </si>
  <si>
    <t xml:space="preserve">Call POST /api/v1/checkout-groups/{checkoutGroupId}/cancel without JWT, then with a user of another role/owner</t>
  </si>
  <si>
    <t xml:space="preserve">TC-CHK-05-05</t>
  </si>
  <si>
    <t xml:space="preserve">Send the same request twice / two parallel requests to POST /api/v1/checkout-groups/{checkoutGroupId}/cancel</t>
  </si>
  <si>
    <t xml:space="preserve">TC-CHK-05-06</t>
  </si>
  <si>
    <t xml:space="preserve">Rule: Only PENDING_PAYMENT groups</t>
  </si>
  <si>
    <t xml:space="preserve">TC-CHK-05-07</t>
  </si>
  <si>
    <t xml:space="preserve">Contract with: Wallet (payment-in-flight check, undefined); Fulfillment release via OrderCancelled event (FUL-10)</t>
  </si>
  <si>
    <t xml:space="preserve">TC-CHK-06-01</t>
  </si>
  <si>
    <t xml:space="preserve">Job processes eligible rows (mỗi 1 phút (+ consumer InventoryReservationExpired làm lưới an toàn))</t>
  </si>
  <si>
    <t xml:space="preserve">TC-CHK-06-02</t>
  </si>
  <si>
    <t xml:space="preserve">TC-CHK-06-03</t>
  </si>
  <si>
    <t xml:space="preserve">TC-PAY-01-01</t>
  </si>
  <si>
    <t xml:space="preserve">Consume event (WalletDebitedSuccess / WalletDebitFailed (target); PaymentSu)</t>
  </si>
  <si>
    <t xml:space="preserve">TC-PAY-01-02</t>
  </si>
  <si>
    <t xml:space="preserve">TC-PAY-01-03</t>
  </si>
  <si>
    <t xml:space="preserve">TC-PAY-01-04</t>
  </si>
  <si>
    <t xml:space="preserve">Contract with: Wallet events (consume); Fulfillment confirm via OrderPaid (FUL-09); refund via OrderRefundRequested</t>
  </si>
  <si>
    <t xml:space="preserve">TC-DSC-01-01</t>
  </si>
  <si>
    <t xml:space="preserve">Happy path: List available vouchers</t>
  </si>
  <si>
    <t xml:space="preserve">Call GET /api/v1/vouchers/available?cartItemIds=&amp;sellerId=&amp;page=&amp;size= with a valid request</t>
  </si>
  <si>
    <t xml:space="preserve">TC-DSC-01-02</t>
  </si>
  <si>
    <t xml:space="preserve">SELLER_NOT_FOUND -&gt; HTTP 404</t>
  </si>
  <si>
    <t xml:space="preserve">State/input that triggers SELLER_NOT_FOUND</t>
  </si>
  <si>
    <t xml:space="preserve">Call GET /api/v1/vouchers/available?cartItemIds=&amp;sellerId=&amp;page=&amp;size=</t>
  </si>
  <si>
    <t xml:space="preserve">HTTP 404 SELLER_NOT_FOUND; transaction rolled back; no event written to outbox</t>
  </si>
  <si>
    <t xml:space="preserve">TC-DSC-01-03</t>
  </si>
  <si>
    <t xml:space="preserve">Call GET /api/v1/vouchers/available?cartItemIds=&amp;sellerId=&amp;page=&amp;size= without JWT, then with a user of another role/owner</t>
  </si>
  <si>
    <t xml:space="preserve">TC-DSC-01-04</t>
  </si>
  <si>
    <t xml:space="preserve">Rule: ACTIVE, visible, in period, not exhausted, per-user limit not reached</t>
  </si>
  <si>
    <t xml:space="preserve">TC-DSC-01-05</t>
  </si>
  <si>
    <t xml:space="preserve">Contract with: Catalog (category/product of items for CATEGORY/SKU scope)</t>
  </si>
  <si>
    <t xml:space="preserve">TC-DSC-02-01</t>
  </si>
  <si>
    <t xml:space="preserve">Unit: Validate &amp; calculate voucher</t>
  </si>
  <si>
    <t xml:space="preserve">Call VoucherService.validateAndCalculate(code, userId, scopeContext)</t>
  </si>
  <si>
    <t xml:space="preserve">Expected result per rule: PERCENT = min(eligible*value/100, max_discount_amount)</t>
  </si>
  <si>
    <t xml:space="preserve">TC-DSC-02-02</t>
  </si>
  <si>
    <t xml:space="preserve">Call VoucherService.validateAndCalculate(code, userId, scopeContext) with limits</t>
  </si>
  <si>
    <t xml:space="preserve">TC-DSC-02-03</t>
  </si>
  <si>
    <t xml:space="preserve">Invariant / concurrency: Pure / read-only</t>
  </si>
  <si>
    <t xml:space="preserve">Call VoucherService.validateAndCalculate(code, userId, scopeContext) concurrently / repeatedly</t>
  </si>
  <si>
    <t xml:space="preserve">Invariant holds (PERCENT = min(eligible*value/100, max_discount_amount); FIXED = min(value, eligible); orde)</t>
  </si>
  <si>
    <t xml:space="preserve">TC-DSC-03-01</t>
  </si>
  <si>
    <t xml:space="preserve">Unit: Reserve vouchers</t>
  </si>
  <si>
    <t xml:space="preserve">Call VoucherService.reserve(checkoutGroupId, orderId?, userId, codes) – gọi trong TX-1 của CHK-02</t>
  </si>
  <si>
    <t xml:space="preserve">Expected result per rule: reserved_count+1 only if used+reserved &lt; max_uses_total</t>
  </si>
  <si>
    <t xml:space="preserve">TC-DSC-03-02</t>
  </si>
  <si>
    <t xml:space="preserve">Call VoucherService.reserve(checkoutGroupId, orderId?, userId, codes) – gọi trong TX-1 của CHK-02 with limits</t>
  </si>
  <si>
    <t xml:space="preserve">TC-DSC-03-03</t>
  </si>
  <si>
    <t xml:space="preserve">Invariant / concurrency: Conditional UPDATE (atomic counter) + pg_advisory_xact_lock(code,user); runs ins</t>
  </si>
  <si>
    <t xml:space="preserve">Call VoucherService.reserve(checkoutGroupId, orderId?, userId, codes) – gọi trong TX-1 của CHK-02 concurrently / repeatedly</t>
  </si>
  <si>
    <t xml:space="preserve">Invariant holds (reserved_count+1 only if used+reserved &lt; max_uses_total; SYSTEM usage binds checkout_group)</t>
  </si>
  <si>
    <t xml:space="preserve">TC-DSC-04-01</t>
  </si>
  <si>
    <t xml:space="preserve">Unit: Confirm</t>
  </si>
  <si>
    <t xml:space="preserve">Call VoucherService.confirm(groupId) / release(orderId|groupId, reason)</t>
  </si>
  <si>
    <t xml:space="preserve">Expected result per rule: confirm: RESERVED-&gt;USED (used+1, reserved-1)</t>
  </si>
  <si>
    <t xml:space="preserve">TC-DSC-04-02</t>
  </si>
  <si>
    <t xml:space="preserve">Call VoucherService.confirm(groupId) / release(orderId|groupId, reason) with limits</t>
  </si>
  <si>
    <t xml:space="preserve">TC-DSC-04-03</t>
  </si>
  <si>
    <t xml:space="preserve">Invariant / concurrency: Idempotent (USED/RELEASED rows skipped); called inside PAY-01 / CHK-05 / CHK-06 </t>
  </si>
  <si>
    <t xml:space="preserve">Call VoucherService.confirm(groupId) / release(orderId|groupId, reason) concurrently / repeatedly</t>
  </si>
  <si>
    <t xml:space="preserve">Invariant holds (confirm: RESERVED-&gt;USED (used+1, reserved-1); release: RESERVED/USED-&gt;RELEASED.)</t>
  </si>
  <si>
    <t xml:space="preserve">TC-DSC-05-01</t>
  </si>
  <si>
    <t xml:space="preserve">Happy path: Create voucher</t>
  </si>
  <si>
    <t xml:space="preserve">Call POST /api/v1/vouchers with a valid request</t>
  </si>
  <si>
    <t xml:space="preserve">TC-DSC-05-02</t>
  </si>
  <si>
    <t xml:space="preserve">Call POST /api/v1/vouchers</t>
  </si>
  <si>
    <t xml:space="preserve">TC-DSC-05-03</t>
  </si>
  <si>
    <t xml:space="preserve">VOUCHER_CODE_EXISTS -&gt; HTTP 409</t>
  </si>
  <si>
    <t xml:space="preserve">State/input that triggers VOUCHER_CODE_EXISTS</t>
  </si>
  <si>
    <t xml:space="preserve">HTTP 409 VOUCHER_CODE_EXISTS; transaction rolled back; no event written to outbox</t>
  </si>
  <si>
    <t xml:space="preserve">TC-DSC-05-04</t>
  </si>
  <si>
    <t xml:space="preserve">FORBIDDEN -&gt; HTTP 403</t>
  </si>
  <si>
    <t xml:space="preserve">State/input that triggers FORBIDDEN</t>
  </si>
  <si>
    <t xml:space="preserve">HTTP 403 FORBIDDEN; transaction rolled back; no event written to outbox</t>
  </si>
  <si>
    <t xml:space="preserve">TC-DSC-05-05</t>
  </si>
  <si>
    <t xml:space="preserve">Permission required: DISCOUNT.CREATE (NEW) / Admin, Seller</t>
  </si>
  <si>
    <t xml:space="preserve">Call POST /api/v1/vouchers without JWT, then with a user of another role/owner</t>
  </si>
  <si>
    <t xml:space="preserve">TC-DSC-05-06</t>
  </si>
  <si>
    <t xml:space="preserve">Send the same request twice / two parallel requests to POST /api/v1/vouchers</t>
  </si>
  <si>
    <t xml:space="preserve">TC-DSC-05-07</t>
  </si>
  <si>
    <t xml:space="preserve">Rule: Admin creates SYSTEM (owner NULL)</t>
  </si>
  <si>
    <t xml:space="preserve">TC-DSC-05-08</t>
  </si>
  <si>
    <t xml:space="preserve">Contract with: Catalog (validate SHOP/PRODUCT/SKU/CATEGORY ref, optional)</t>
  </si>
  <si>
    <t xml:space="preserve">TC-DSC-06-01</t>
  </si>
  <si>
    <t xml:space="preserve">Happy path: Update</t>
  </si>
  <si>
    <t xml:space="preserve">Call PATCH /api/v1/vouchers/{voucherId} with a valid request</t>
  </si>
  <si>
    <t xml:space="preserve">TC-DSC-06-02</t>
  </si>
  <si>
    <t xml:space="preserve">Call PATCH /api/v1/vouchers/{voucherId}</t>
  </si>
  <si>
    <t xml:space="preserve">TC-DSC-06-03</t>
  </si>
  <si>
    <t xml:space="preserve">VOUCHER_NOT_FOUND -&gt; HTTP 404</t>
  </si>
  <si>
    <t xml:space="preserve">State/input that triggers VOUCHER_NOT_FOUND</t>
  </si>
  <si>
    <t xml:space="preserve">HTTP 404 VOUCHER_NOT_FOUND; transaction rolled back; no event written to outbox</t>
  </si>
  <si>
    <t xml:space="preserve">TC-DSC-06-04</t>
  </si>
  <si>
    <t xml:space="preserve">VOUCHER_ALREADY_USED -&gt; HTTP 409</t>
  </si>
  <si>
    <t xml:space="preserve">State/input that triggers VOUCHER_ALREADY_USED</t>
  </si>
  <si>
    <t xml:space="preserve">HTTP 409 VOUCHER_ALREADY_USED; transaction rolled back; no event written to outbox</t>
  </si>
  <si>
    <t xml:space="preserve">TC-DSC-06-05</t>
  </si>
  <si>
    <t xml:space="preserve">TC-DSC-06-06</t>
  </si>
  <si>
    <t xml:space="preserve">Permission required: DISCOUNT.UPDATE (NEW) / Admin, Seller (own)</t>
  </si>
  <si>
    <t xml:space="preserve">Call PATCH /api/v1/vouchers/{voucherId} without JWT, then with a user of another role/owner</t>
  </si>
  <si>
    <t xml:space="preserve">TC-DSC-06-07</t>
  </si>
  <si>
    <t xml:space="preserve">Send the same request twice / two parallel requests to PATCH /api/v1/vouchers/{voucherId}</t>
  </si>
  <si>
    <t xml:space="preserve">TC-DSC-06-08</t>
  </si>
  <si>
    <t xml:space="preserve">Rule: Owner only</t>
  </si>
  <si>
    <t xml:space="preserve">TC-DSC-07-01</t>
  </si>
  <si>
    <t xml:space="preserve">Happy path: List vouchers for management</t>
  </si>
  <si>
    <t xml:space="preserve">Call GET /api/v1/vouchers with a valid request</t>
  </si>
  <si>
    <t xml:space="preserve">TC-DSC-07-02</t>
  </si>
  <si>
    <t xml:space="preserve">Call GET /api/v1/vouchers</t>
  </si>
  <si>
    <t xml:space="preserve">TC-DSC-07-03</t>
  </si>
  <si>
    <t xml:space="preserve">Permission required: DISCOUNT.VIEW (NEW) / Admin, Seller (own)</t>
  </si>
  <si>
    <t xml:space="preserve">Call GET /api/v1/vouchers without JWT, then with a user of another role/owner</t>
  </si>
  <si>
    <t xml:space="preserve">TC-DSC-07-04</t>
  </si>
  <si>
    <t xml:space="preserve">Rule: Filter by status/scope</t>
  </si>
  <si>
    <t xml:space="preserve">TC-DSC-08-01</t>
  </si>
  <si>
    <t xml:space="preserve">Job processes eligible rows (Scheduled - hourly)</t>
  </si>
  <si>
    <t xml:space="preserve">TC-DSC-08-02</t>
  </si>
  <si>
    <t xml:space="preserve">TC-DSC-08-03</t>
  </si>
  <si>
    <t xml:space="preserve">TC-ORD-01-01</t>
  </si>
  <si>
    <t xml:space="preserve">Happy path: List my orders</t>
  </si>
  <si>
    <t xml:space="preserve">Call GET /api/v1/orders with a valid request</t>
  </si>
  <si>
    <t xml:space="preserve">TC-ORD-01-02</t>
  </si>
  <si>
    <t xml:space="preserve">Call GET /api/v1/orders</t>
  </si>
  <si>
    <t xml:space="preserve">TC-ORD-01-03</t>
  </si>
  <si>
    <t xml:space="preserve">Permission required: ORDER.LIST / Buyer (own)</t>
  </si>
  <si>
    <t xml:space="preserve">Call GET /api/v1/orders without JWT, then with a user of another role/owner</t>
  </si>
  <si>
    <t xml:space="preserve">TC-ORD-01-04</t>
  </si>
  <si>
    <t xml:space="preserve">Rule: UNION ALL orders + auction_orders</t>
  </si>
  <si>
    <t xml:space="preserve">TC-ORD-01-05</t>
  </si>
  <si>
    <t xml:space="preserve">Contract with: User batch lookup of seller name (cache; endpoint undefined)</t>
  </si>
  <si>
    <t xml:space="preserve">TC-ORD-02-01</t>
  </si>
  <si>
    <t xml:space="preserve">Happy path: Get order detail</t>
  </si>
  <si>
    <t xml:space="preserve">Call GET /api/v1/orders/{orderId}?orderType=REGULAR|AUCTION with a valid request</t>
  </si>
  <si>
    <t xml:space="preserve">TC-ORD-02-02</t>
  </si>
  <si>
    <t xml:space="preserve">ORDER_NOT_FOUND -&gt; HTTP 404</t>
  </si>
  <si>
    <t xml:space="preserve">State/input that triggers ORDER_NOT_FOUND</t>
  </si>
  <si>
    <t xml:space="preserve">Call GET /api/v1/orders/{orderId}?orderType=REGULAR|AUCTION</t>
  </si>
  <si>
    <t xml:space="preserve">HTTP 404 ORDER_NOT_FOUND; transaction rolled back; no event written to outbox</t>
  </si>
  <si>
    <t xml:space="preserve">TC-ORD-02-03</t>
  </si>
  <si>
    <t xml:space="preserve">Permission required: ORDER.VIEW / Buyer (own), Seller (own), Admin, Support</t>
  </si>
  <si>
    <t xml:space="preserve">Call GET /api/v1/orders/{orderId}?orderType=REGULAR|AUCTION without JWT, then with a user of another role/owner</t>
  </si>
  <si>
    <t xml:space="preserve">TC-ORD-02-04</t>
  </si>
  <si>
    <t xml:space="preserve">Rule: Buyer own / Seller own (paid_at not null only) / Admin, Support all</t>
  </si>
  <si>
    <t xml:space="preserve">TC-ORD-02-05</t>
  </si>
  <si>
    <t xml:space="preserve">Contract with: Fulfillment FUL-18/19/20 (shipment, degrade to null)</t>
  </si>
  <si>
    <t xml:space="preserve">TC-ORD-03-01</t>
  </si>
  <si>
    <t xml:space="preserve">Happy path: Seller order list</t>
  </si>
  <si>
    <t xml:space="preserve">Call GET /api/v1/seller/orders with a valid request</t>
  </si>
  <si>
    <t xml:space="preserve">TC-ORD-03-02</t>
  </si>
  <si>
    <t xml:space="preserve">Call GET /api/v1/seller/orders</t>
  </si>
  <si>
    <t xml:space="preserve">TC-ORD-03-03</t>
  </si>
  <si>
    <t xml:space="preserve">Permission required: ORDER.LIST / Seller (own)</t>
  </si>
  <si>
    <t xml:space="preserve">Call GET /api/v1/seller/orders without JWT, then with a user of another role/owner</t>
  </si>
  <si>
    <t xml:space="preserve">TC-ORD-03-04</t>
  </si>
  <si>
    <t xml:space="preserve">Rule: paid_at IS NOT NULL mandatory</t>
  </si>
  <si>
    <t xml:space="preserve">TC-ORD-04-01</t>
  </si>
  <si>
    <t xml:space="preserve">Happy path: Seller accept order</t>
  </si>
  <si>
    <t xml:space="preserve">Call POST /api/v1/seller/orders/{orderId}/accept?orderType= with a valid request</t>
  </si>
  <si>
    <t xml:space="preserve">TC-ORD-04-02</t>
  </si>
  <si>
    <t xml:space="preserve">Call POST /api/v1/seller/orders/{orderId}/accept?orderType=</t>
  </si>
  <si>
    <t xml:space="preserve">TC-ORD-04-03</t>
  </si>
  <si>
    <t xml:space="preserve">ORDER_STATE_CONFLICT -&gt; HTTP 409</t>
  </si>
  <si>
    <t xml:space="preserve">State/input that triggers ORDER_STATE_CONFLICT</t>
  </si>
  <si>
    <t xml:space="preserve">HTTP 409 ORDER_STATE_CONFLICT; transaction rolled back; no event written to outbox</t>
  </si>
  <si>
    <t xml:space="preserve">TC-ORD-04-04</t>
  </si>
  <si>
    <t xml:space="preserve">TC-ORD-04-05</t>
  </si>
  <si>
    <t xml:space="preserve">Permission required: ORDER.CONFIRM (SRS OQ-12) / Seller</t>
  </si>
  <si>
    <t xml:space="preserve">Call POST /api/v1/seller/orders/{orderId}/accept?orderType= without JWT, then with a user of another role/owner</t>
  </si>
  <si>
    <t xml:space="preserve">TC-ORD-04-06</t>
  </si>
  <si>
    <t xml:space="preserve">Send the same request twice / two parallel requests to POST /api/v1/seller/orders/{orderId}/accept?orderType=</t>
  </si>
  <si>
    <t xml:space="preserve">TC-ORD-04-07</t>
  </si>
  <si>
    <t xml:space="preserve">Rule: seller_id = sub</t>
  </si>
  <si>
    <t xml:space="preserve">TC-ORD-04-08</t>
  </si>
  <si>
    <t xml:space="preserve">Contract with: Fulfillment creates shipment asynchronously on OrderConfirmed (FUL-13 listener name to switch, G13)</t>
  </si>
  <si>
    <t xml:space="preserve">TC-ORD-05-01</t>
  </si>
  <si>
    <t xml:space="preserve">Happy path: Seller reject order</t>
  </si>
  <si>
    <t xml:space="preserve">Call POST /api/v1/seller/orders/{orderId}/reject?orderType= with a valid request</t>
  </si>
  <si>
    <t xml:space="preserve">TC-ORD-05-02</t>
  </si>
  <si>
    <t xml:space="preserve">Call POST /api/v1/seller/orders/{orderId}/reject?orderType=</t>
  </si>
  <si>
    <t xml:space="preserve">TC-ORD-05-03</t>
  </si>
  <si>
    <t xml:space="preserve">Permission required: ORDER.REJECT (SRS OQ-12) / Seller</t>
  </si>
  <si>
    <t xml:space="preserve">Call POST /api/v1/seller/orders/{orderId}/reject?orderType= without JWT, then with a user of another role/owner</t>
  </si>
  <si>
    <t xml:space="preserve">TC-ORD-05-04</t>
  </si>
  <si>
    <t xml:space="preserve">Send the same request twice / two parallel requests to POST /api/v1/seller/orders/{orderId}/reject?orderType=</t>
  </si>
  <si>
    <t xml:space="preserve">TC-ORD-05-05</t>
  </si>
  <si>
    <t xml:space="preserve">Rule: status in {PAID, CONFIRMED}</t>
  </si>
  <si>
    <t xml:space="preserve">TC-ORD-05-06</t>
  </si>
  <si>
    <t xml:space="preserve">Contract with: Wallet refund via OrderRefundRequested; Fulfillment release via OrderCancelled; User penalty via event</t>
  </si>
  <si>
    <t xml:space="preserve">TC-ORD-06-01</t>
  </si>
  <si>
    <t xml:space="preserve">Happy path: Cancel order</t>
  </si>
  <si>
    <t xml:space="preserve">Call POST /api/v1/orders/{orderId}/cancel?orderType= with a valid request</t>
  </si>
  <si>
    <t xml:space="preserve">TC-ORD-06-02</t>
  </si>
  <si>
    <t xml:space="preserve">Call POST /api/v1/orders/{orderId}/cancel?orderType=</t>
  </si>
  <si>
    <t xml:space="preserve">TC-ORD-06-03</t>
  </si>
  <si>
    <t xml:space="preserve">ORDER_NOT_CANCELLABLE -&gt; HTTP 409</t>
  </si>
  <si>
    <t xml:space="preserve">State/input that triggers ORDER_NOT_CANCELLABLE</t>
  </si>
  <si>
    <t xml:space="preserve">HTTP 409 ORDER_NOT_CANCELLABLE; transaction rolled back; no event written to outbox</t>
  </si>
  <si>
    <t xml:space="preserve">TC-ORD-06-04</t>
  </si>
  <si>
    <t xml:space="preserve">TC-ORD-06-05</t>
  </si>
  <si>
    <t xml:space="preserve">TC-ORD-06-06</t>
  </si>
  <si>
    <t xml:space="preserve">Permission required: ORDER.CANCEL / Buyer (own), Support, Admin</t>
  </si>
  <si>
    <t xml:space="preserve">Call POST /api/v1/orders/{orderId}/cancel?orderType= without JWT, then with a user of another role/owner</t>
  </si>
  <si>
    <t xml:space="preserve">TC-ORD-06-07</t>
  </si>
  <si>
    <t xml:space="preserve">Send the same request twice / two parallel requests to POST /api/v1/orders/{orderId}/cancel?orderType=</t>
  </si>
  <si>
    <t xml:space="preserve">TC-ORD-06-08</t>
  </si>
  <si>
    <t xml:space="preserve">Rule: Buyer: PAID normal order (not yet CONFIRMED) or PENDING_PAYMENT/PAID auction order</t>
  </si>
  <si>
    <t xml:space="preserve">TC-ORD-06-09</t>
  </si>
  <si>
    <t xml:space="preserve">Contract with: Wallet refund (async, WAL-06); Fulfillment FUL-10 release (async)</t>
  </si>
  <si>
    <t xml:space="preserve">TC-ORD-07-01</t>
  </si>
  <si>
    <t xml:space="preserve">Happy path: Confirm received</t>
  </si>
  <si>
    <t xml:space="preserve">Call POST /api/v1/orders/{orderId}/confirm-received?orderType= with a valid request</t>
  </si>
  <si>
    <t xml:space="preserve">TC-ORD-07-02</t>
  </si>
  <si>
    <t xml:space="preserve">Call POST /api/v1/orders/{orderId}/confirm-received?orderType=</t>
  </si>
  <si>
    <t xml:space="preserve">TC-ORD-07-03</t>
  </si>
  <si>
    <t xml:space="preserve">Permission required: ORDER.CONFIRM_RECEIVED (NEW) / Buyer</t>
  </si>
  <si>
    <t xml:space="preserve">Call POST /api/v1/orders/{orderId}/confirm-received?orderType= without JWT, then with a user of another role/owner</t>
  </si>
  <si>
    <t xml:space="preserve">TC-ORD-07-04</t>
  </si>
  <si>
    <t xml:space="preserve">Send the same request twice / two parallel requests to POST /api/v1/orders/{orderId}/confirm-received?orderType=</t>
  </si>
  <si>
    <t xml:space="preserve">TC-ORD-07-05</t>
  </si>
  <si>
    <t xml:space="preserve">Rule: buyer_id = sub</t>
  </si>
  <si>
    <t xml:space="preserve">TC-ORD-08-01</t>
  </si>
  <si>
    <t xml:space="preserve">Job processes eligible rows (mỗi giờ)</t>
  </si>
  <si>
    <t xml:space="preserve">TC-ORD-08-02</t>
  </si>
  <si>
    <t xml:space="preserve">TC-ORD-08-03</t>
  </si>
  <si>
    <t xml:space="preserve">TC-ORD-09-01</t>
  </si>
  <si>
    <t xml:space="preserve">Job processes eligible rows (mỗi 1 phút)</t>
  </si>
  <si>
    <t xml:space="preserve">TC-ORD-09-02</t>
  </si>
  <si>
    <t xml:space="preserve">TC-ORD-09-03</t>
  </si>
  <si>
    <t xml:space="preserve">TC-ORD-10-01</t>
  </si>
  <si>
    <t xml:space="preserve">Consume event (ShipmentPickedUp; ShipmentInTransit; ShipmentDelivered; Ship)</t>
  </si>
  <si>
    <t xml:space="preserve">TC-ORD-10-02</t>
  </si>
  <si>
    <t xml:space="preserve">TC-ORD-10-03</t>
  </si>
  <si>
    <t xml:space="preserve">TC-ORD-10-04</t>
  </si>
  <si>
    <t xml:space="preserve">Contract with: Fulfillment shipment events</t>
  </si>
  <si>
    <t xml:space="preserve">TC-ORD-11-01</t>
  </si>
  <si>
    <t xml:space="preserve">Happy path: Admin list orders</t>
  </si>
  <si>
    <t xml:space="preserve">Call GET /api/v1/admin/orders with a valid request</t>
  </si>
  <si>
    <t xml:space="preserve">TC-ORD-11-02</t>
  </si>
  <si>
    <t xml:space="preserve">Call GET /api/v1/admin/orders</t>
  </si>
  <si>
    <t xml:space="preserve">TC-ORD-11-03</t>
  </si>
  <si>
    <t xml:space="preserve">Permission required: ORDER.LIST / Admin, Support</t>
  </si>
  <si>
    <t xml:space="preserve">Call GET /api/v1/admin/orders without JWT, then with a user of another role/owner</t>
  </si>
  <si>
    <t xml:space="preserve">TC-ORD-11-04</t>
  </si>
  <si>
    <t xml:space="preserve">Rule: At least one filter or date range</t>
  </si>
  <si>
    <t xml:space="preserve">TC-ORD-11-05</t>
  </si>
  <si>
    <t xml:space="preserve">Contract with: User batch lookup of buyer/seller names</t>
  </si>
  <si>
    <t xml:space="preserve">TC-ORD-12-01</t>
  </si>
  <si>
    <t xml:space="preserve">Happy path: Admin update order status</t>
  </si>
  <si>
    <t xml:space="preserve">Call PATCH /api/v1/admin/orders/{orderId}/status?orderType= with a valid request</t>
  </si>
  <si>
    <t xml:space="preserve">TC-ORD-12-02</t>
  </si>
  <si>
    <t xml:space="preserve">Call PATCH /api/v1/admin/orders/{orderId}/status?orderType=</t>
  </si>
  <si>
    <t xml:space="preserve">TC-ORD-12-03</t>
  </si>
  <si>
    <t xml:space="preserve">INVALID_TRANSITION -&gt; HTTP 409</t>
  </si>
  <si>
    <t xml:space="preserve">State/input that triggers INVALID_TRANSITION</t>
  </si>
  <si>
    <t xml:space="preserve">HTTP 409 INVALID_TRANSITION; transaction rolled back; no event written to outbox</t>
  </si>
  <si>
    <t xml:space="preserve">TC-ORD-12-04</t>
  </si>
  <si>
    <t xml:space="preserve">Permission required: ORDER.UPDATE_STATUS (NEW) / Admin</t>
  </si>
  <si>
    <t xml:space="preserve">Call PATCH /api/v1/admin/orders/{orderId}/status?orderType= without JWT, then with a user of another role/owner</t>
  </si>
  <si>
    <t xml:space="preserve">TC-ORD-12-05</t>
  </si>
  <si>
    <t xml:space="preserve">Send the same request twice / two parallel requests to PATCH /api/v1/admin/orders/{orderId}/status?orderType=</t>
  </si>
  <si>
    <t xml:space="preserve">TC-ORD-12-06</t>
  </si>
  <si>
    <t xml:space="preserve">Rule: Forward whitelist only</t>
  </si>
  <si>
    <t xml:space="preserve">TC-ORD-12-07</t>
  </si>
  <si>
    <t xml:space="preserve">Contract with: Event Log (audit, via event)</t>
  </si>
  <si>
    <t xml:space="preserve">TC-ORD-13-01</t>
  </si>
  <si>
    <t xml:space="preserve">Happy path: Admin/Support refund</t>
  </si>
  <si>
    <t xml:space="preserve">Call POST /api/v1/admin/orders/{orderId}/refund?orderType= with a valid request</t>
  </si>
  <si>
    <t xml:space="preserve">TC-ORD-13-02</t>
  </si>
  <si>
    <t xml:space="preserve">REFUND_NOT_ALLOWED -&gt; HTTP 409</t>
  </si>
  <si>
    <t xml:space="preserve">State/input that triggers REFUND_NOT_ALLOWED</t>
  </si>
  <si>
    <t xml:space="preserve">Call POST /api/v1/admin/orders/{orderId}/refund?orderType=</t>
  </si>
  <si>
    <t xml:space="preserve">HTTP 409 REFUND_NOT_ALLOWED; transaction rolled back; no event written to outbox</t>
  </si>
  <si>
    <t xml:space="preserve">TC-ORD-13-03</t>
  </si>
  <si>
    <t xml:space="preserve">REFUND_ALREADY_REQUESTED -&gt; HTTP 409</t>
  </si>
  <si>
    <t xml:space="preserve">State/input that triggers REFUND_ALREADY_REQUESTED</t>
  </si>
  <si>
    <t xml:space="preserve">HTTP 409 REFUND_ALREADY_REQUESTED; transaction rolled back; no event written to outbox</t>
  </si>
  <si>
    <t xml:space="preserve">TC-ORD-13-04</t>
  </si>
  <si>
    <t xml:space="preserve">TC-ORD-13-05</t>
  </si>
  <si>
    <t xml:space="preserve">Permission required: ORDER.REFUND / Admin, Support</t>
  </si>
  <si>
    <t xml:space="preserve">Call POST /api/v1/admin/orders/{orderId}/refund?orderType= without JWT, then with a user of another role/owner</t>
  </si>
  <si>
    <t xml:space="preserve">TC-ORD-13-06</t>
  </si>
  <si>
    <t xml:space="preserve">Send the same request twice / two parallel requests to POST /api/v1/admin/orders/{orderId}/refund?orderType=</t>
  </si>
  <si>
    <t xml:space="preserve">TC-ORD-13-07</t>
  </si>
  <si>
    <t xml:space="preserve">Rule: Status in DELIVERED | COMPLETED | CANCELLED(paid, not yet refunded)</t>
  </si>
  <si>
    <t xml:space="preserve">TC-ORD-13-08</t>
  </si>
  <si>
    <t xml:space="preserve">Contract with: Wallet refund (async)</t>
  </si>
  <si>
    <t xml:space="preserve">TC-ORD-14-01</t>
  </si>
  <si>
    <t xml:space="preserve">Consume event (RefundCompleted / RefundFailed (as written); WalletRefunded )</t>
  </si>
  <si>
    <t xml:space="preserve">TC-ORD-14-02</t>
  </si>
  <si>
    <t xml:space="preserve">TC-ORD-14-03</t>
  </si>
  <si>
    <t xml:space="preserve">TC-ORD-14-04</t>
  </si>
  <si>
    <t xml:space="preserve">Contract with: Wallet events</t>
  </si>
  <si>
    <t xml:space="preserve">TC-ORD-15-01</t>
  </si>
  <si>
    <t xml:space="preserve">Consume event (OrderCompleted (internal))</t>
  </si>
  <si>
    <t xml:space="preserve">TC-ORD-15-02</t>
  </si>
  <si>
    <t xml:space="preserve">TC-ORD-15-03</t>
  </si>
  <si>
    <t xml:space="preserve">TC-ORD-15-04</t>
  </si>
  <si>
    <t xml:space="preserve">Contract with: Object Storage (PDF upload); Notification</t>
  </si>
  <si>
    <t xml:space="preserve">TC-ORD-16-01</t>
  </si>
  <si>
    <t xml:space="preserve">Happy path: Download invoice</t>
  </si>
  <si>
    <t xml:space="preserve">Call GET /api/v1/orders/{orderId}/invoice?orderType= with a valid request</t>
  </si>
  <si>
    <t xml:space="preserve">TC-ORD-16-02</t>
  </si>
  <si>
    <t xml:space="preserve">Call GET /api/v1/orders/{orderId}/invoice?orderType=</t>
  </si>
  <si>
    <t xml:space="preserve">TC-ORD-16-03</t>
  </si>
  <si>
    <t xml:space="preserve">INVOICE_NOT_READY -&gt; HTTP 404</t>
  </si>
  <si>
    <t xml:space="preserve">State/input that triggers INVOICE_NOT_READY</t>
  </si>
  <si>
    <t xml:space="preserve">HTTP 404 INVOICE_NOT_READY; transaction rolled back; no event written to outbox</t>
  </si>
  <si>
    <t xml:space="preserve">TC-ORD-16-04</t>
  </si>
  <si>
    <t xml:space="preserve">Permission required: ORDER.INVOICE.VIEW (NEW) / Buyer (own), Seller (own), Admin, Support</t>
  </si>
  <si>
    <t xml:space="preserve">Call GET /api/v1/orders/{orderId}/invoice?orderType= without JWT, then with a user of another role/owner</t>
  </si>
  <si>
    <t xml:space="preserve">TC-ORD-16-05</t>
  </si>
  <si>
    <t xml:space="preserve">Rule: Never returns raw file_url</t>
  </si>
  <si>
    <t xml:space="preserve">TC-ORD-16-06</t>
  </si>
  <si>
    <t xml:space="preserve">Contract with: Object Storage presigned URL (TTL 5 min)</t>
  </si>
  <si>
    <t xml:space="preserve">TC-ORD-17-01</t>
  </si>
  <si>
    <t xml:space="preserve">Unit: Generate order number</t>
  </si>
  <si>
    <t xml:space="preserve">Call SequenceService.next(seqType)</t>
  </si>
  <si>
    <t xml:space="preserve">Expected result per rule: ORD-/AOR-/INV-YYYYMMDD-NNNNNN</t>
  </si>
  <si>
    <t xml:space="preserve">TC-ORD-17-02</t>
  </si>
  <si>
    <t xml:space="preserve">Call SequenceService.next(seqType) with limits</t>
  </si>
  <si>
    <t xml:space="preserve">TC-ORD-17-03</t>
  </si>
  <si>
    <t xml:space="preserve">Invariant / concurrency: INSERT ... ON CONFLICT DO UPDATE ... RETURNING (short autocommit TX, before busi</t>
  </si>
  <si>
    <t xml:space="preserve">Call SequenceService.next(seqType) concurrently / repeatedly</t>
  </si>
  <si>
    <t xml:space="preserve">Invariant holds (ORD-/AOR-/INV-YYYYMMDD-NNNNNN; gaps allowed; day by SYSTEM_TIMEZONE (SRS default UTC).)</t>
  </si>
  <si>
    <t xml:space="preserve">TC-ORD-18-01</t>
  </si>
  <si>
    <t xml:space="preserve">Unit: Order state machine</t>
  </si>
  <si>
    <t xml:space="preserve">Call OrderStateMachine.transition(order, toStatus, actor, reason)</t>
  </si>
  <si>
    <t xml:space="preserve">Expected result per rule: Every status change passes here</t>
  </si>
  <si>
    <t xml:space="preserve">TC-ORD-18-02</t>
  </si>
  <si>
    <t xml:space="preserve">Call OrderStateMachine.transition(order, toStatus, actor, reason) with limits</t>
  </si>
  <si>
    <t xml:space="preserve">TC-ORD-18-03</t>
  </si>
  <si>
    <t xml:space="preserve">Invariant / concurrency: CAS: UPDATE ... WHERE status=:from AND row_version=:v</t>
  </si>
  <si>
    <t xml:space="preserve">Call OrderStateMachine.transition(order, toStatus, actor, reason) concurrently / repeatedly</t>
  </si>
  <si>
    <t xml:space="preserve">Invariant holds (Every status change passes here; validates (from,to,actor); sets paid_at / shipped_at ... )</t>
  </si>
  <si>
    <t xml:space="preserve">TC-ORD-19-01</t>
  </si>
  <si>
    <t xml:space="preserve">Unit: Idempotency handling</t>
  </si>
  <si>
    <t xml:space="preserve">Call IdempotencyFilter (header Idempotency-Key)</t>
  </si>
  <si>
    <t xml:space="preserve">Expected result per rule: Missing key 400</t>
  </si>
  <si>
    <t xml:space="preserve">TC-ORD-19-02</t>
  </si>
  <si>
    <t xml:space="preserve">Call IdempotencyFilter (header Idempotency-Key) with limits</t>
  </si>
  <si>
    <t xml:space="preserve">TC-ORD-19-03</t>
  </si>
  <si>
    <t xml:space="preserve">Invariant / concurrency: PK (key, scope); request_hash = SHA-256(body); TTL 24h</t>
  </si>
  <si>
    <t xml:space="preserve">Call IdempotencyFilter (header Idempotency-Key) concurrently / repeatedly</t>
  </si>
  <si>
    <t xml:space="preserve">Invariant holds (Missing key 400; same key + other hash 422; in-progress 409; response replayed; job cleans)</t>
  </si>
  <si>
    <t xml:space="preserve">TC-ORD-20-01</t>
  </si>
  <si>
    <t xml:space="preserve">Job processes eligible rows (mỗi ~1s)</t>
  </si>
  <si>
    <t xml:space="preserve">TC-ORD-20-02</t>
  </si>
  <si>
    <t xml:space="preserve">TC-ORD-20-03</t>
  </si>
  <si>
    <t xml:space="preserve">TC-ORD-21-01</t>
  </si>
  <si>
    <t xml:space="preserve">Job processes eligible rows (mỗi 2 phút)</t>
  </si>
  <si>
    <t xml:space="preserve">TC-ORD-21-02</t>
  </si>
  <si>
    <t xml:space="preserve">TC-ORD-21-03</t>
  </si>
  <si>
    <t xml:space="preserve">TC-ORD-22-01</t>
  </si>
  <si>
    <t xml:space="preserve">Consume event (InventoryReleased; InventoryReservationExpired)</t>
  </si>
  <si>
    <t xml:space="preserve">TC-ORD-22-02</t>
  </si>
  <si>
    <t xml:space="preserve">TC-ORD-22-03</t>
  </si>
  <si>
    <t xml:space="preserve">TC-ORD-22-04</t>
  </si>
  <si>
    <t xml:space="preserve">Contract with: Fulfillment events</t>
  </si>
  <si>
    <t xml:space="preserve">TC-ORD-23-01</t>
  </si>
  <si>
    <t xml:space="preserve">Happy path: Rating eligibility check</t>
  </si>
  <si>
    <t xml:space="preserve">Call GET /internal/v1/orders/{orderId}/rating-eligibility?userId=&amp;productId= with a valid request</t>
  </si>
  <si>
    <t xml:space="preserve">TC-ORD-23-02</t>
  </si>
  <si>
    <t xml:space="preserve">Call GET /internal/v1/orders/{orderId}/rating-eligibility?userId=&amp;productId=</t>
  </si>
  <si>
    <t xml:space="preserve">TC-ORD-23-03</t>
  </si>
  <si>
    <t xml:space="preserve">Contract with: Called by Catalog (CAT-26/27) and User (REVIEW-01)</t>
  </si>
  <si>
    <t xml:space="preserve">TC-ORD-24-01</t>
  </si>
  <si>
    <t xml:space="preserve">Job processes eligible rows (Scheduled - every 1 min)</t>
  </si>
  <si>
    <t xml:space="preserve">TC-ORD-24-02</t>
  </si>
  <si>
    <t xml:space="preserve">TC-ORD-24-03</t>
  </si>
  <si>
    <t xml:space="preserve">TC-ORD-25-01</t>
  </si>
  <si>
    <t xml:space="preserve">Job processes eligible rows (Scheduled - every 10 min)</t>
  </si>
  <si>
    <t xml:space="preserve">TC-ORD-25-02</t>
  </si>
  <si>
    <t xml:space="preserve">TC-ORD-25-03</t>
  </si>
  <si>
    <t xml:space="preserve">TC-ORD-26-01</t>
  </si>
  <si>
    <t xml:space="preserve">Unit: Settings provider</t>
  </si>
  <si>
    <t xml:space="preserve">Call SettingsProvider.Get&lt;T&gt;(key)</t>
  </si>
  <si>
    <t xml:space="preserve">Expected result per rule: Typed by value_type</t>
  </si>
  <si>
    <t xml:space="preserve">TC-ORD-26-02</t>
  </si>
  <si>
    <t xml:space="preserve">Call SettingsProvider.Get&lt;T&gt;(key) with limits</t>
  </si>
  <si>
    <t xml:space="preserve">TC-ORD-26-03</t>
  </si>
  <si>
    <t xml:space="preserve">Invariant / concurrency: Cache with refresh</t>
  </si>
  <si>
    <t xml:space="preserve">Call SettingsProvider.Get&lt;T&gt;(key) concurrently / repeatedly</t>
  </si>
  <si>
    <t xml:space="preserve">Invariant holds (Typed by value_type; missing key falls back to default and logs; seed has 7 keys only.)</t>
  </si>
  <si>
    <t xml:space="preserve">TC-AO-01-01</t>
  </si>
  <si>
    <t xml:space="preserve">Consume event (AuctionSettled)</t>
  </si>
  <si>
    <t xml:space="preserve">TC-AO-01-02</t>
  </si>
  <si>
    <t xml:space="preserve">TC-AO-01-03</t>
  </si>
  <si>
    <t xml:space="preserve">TC-AO-01-04</t>
  </si>
  <si>
    <t xml:space="preserve">Contract with: Catalog CAT-24 (image/attributes snapshot); User (optional validation)</t>
  </si>
  <si>
    <t xml:space="preserve">TC-AO-02-01</t>
  </si>
  <si>
    <t xml:space="preserve">Happy path: Submit shipping info &amp; get quote</t>
  </si>
  <si>
    <t xml:space="preserve">Call PUT /api/v1/auction-orders/{auctionOrderId}/shipping with a valid request</t>
  </si>
  <si>
    <t xml:space="preserve">TC-AO-02-02</t>
  </si>
  <si>
    <t xml:space="preserve">Call PUT /api/v1/auction-orders/{auctionOrderId}/shipping</t>
  </si>
  <si>
    <t xml:space="preserve">TC-AO-02-03</t>
  </si>
  <si>
    <t xml:space="preserve">TC-AO-02-04</t>
  </si>
  <si>
    <t xml:space="preserve">SHIPPING_QUOTE_UNAVAILABLE -&gt; HTTP 503</t>
  </si>
  <si>
    <t xml:space="preserve">State/input that triggers SHIPPING_QUOTE_UNAVAILABLE</t>
  </si>
  <si>
    <t xml:space="preserve">HTTP 503 SHIPPING_QUOTE_UNAVAILABLE; transaction rolled back; no event written to outbox</t>
  </si>
  <si>
    <t xml:space="preserve">TC-AO-02-05</t>
  </si>
  <si>
    <t xml:space="preserve">Permission required: AUCTION.VIEW + ORDER.UPDATE (NEW) / Buyer (winner)</t>
  </si>
  <si>
    <t xml:space="preserve">Call PUT /api/v1/auction-orders/{auctionOrderId}/shipping without JWT, then with a user of another role/owner</t>
  </si>
  <si>
    <t xml:space="preserve">TC-AO-02-06</t>
  </si>
  <si>
    <t xml:space="preserve">Send the same request twice / two parallel requests to PUT /api/v1/auction-orders/{auctionOrderId}/shipping</t>
  </si>
  <si>
    <t xml:space="preserve">TC-AO-02-07</t>
  </si>
  <si>
    <t xml:space="preserve">Rule: status PENDING_PAYMENT and now &lt; payment_deadline_at (exact to the second, no job needed) else 410 DEADLINE_EX</t>
  </si>
  <si>
    <t xml:space="preserve">TC-AO-02-08</t>
  </si>
  <si>
    <t xml:space="preserve">Contract with: Fulfillment FUL-12 (shipping quote)</t>
  </si>
  <si>
    <t xml:space="preserve">TC-AO-03-01</t>
  </si>
  <si>
    <t xml:space="preserve">Happy path: Pay auction order</t>
  </si>
  <si>
    <t xml:space="preserve">Call POST /api/v1/auction-orders/{auctionOrderId}/pay with a valid request</t>
  </si>
  <si>
    <t xml:space="preserve">TC-AO-03-02</t>
  </si>
  <si>
    <t xml:space="preserve">SHIPPING_INFO_REQUIRED -&gt; HTTP 409</t>
  </si>
  <si>
    <t xml:space="preserve">State/input that triggers SHIPPING_INFO_REQUIRED</t>
  </si>
  <si>
    <t xml:space="preserve">Call POST /api/v1/auction-orders/{auctionOrderId}/pay</t>
  </si>
  <si>
    <t xml:space="preserve">HTTP 409 SHIPPING_INFO_REQUIRED; transaction rolled back; no event written to outbox</t>
  </si>
  <si>
    <t xml:space="preserve">TC-AO-03-03</t>
  </si>
  <si>
    <t xml:space="preserve">TC-AO-03-04</t>
  </si>
  <si>
    <t xml:space="preserve">TC-AO-03-05</t>
  </si>
  <si>
    <t xml:space="preserve">TC-AO-03-06</t>
  </si>
  <si>
    <t xml:space="preserve">Permission required: CHECKOUT.PAY (NEW) / Buyer (winner)</t>
  </si>
  <si>
    <t xml:space="preserve">Call POST /api/v1/auction-orders/{auctionOrderId}/pay without JWT, then with a user of another role/owner</t>
  </si>
  <si>
    <t xml:space="preserve">TC-AO-03-07</t>
  </si>
  <si>
    <t xml:space="preserve">Send the same request twice / two parallel requests to POST /api/v1/auction-orders/{auctionOrderId}/pay</t>
  </si>
  <si>
    <t xml:space="preserve">TC-AO-03-08</t>
  </si>
  <si>
    <t xml:space="preserve">Rule: Needs shipping_fee_amount and total_amount (else 409 SHIPPING_INFO_REQUIRED)</t>
  </si>
  <si>
    <t xml:space="preserve">TC-AO-03-09</t>
  </si>
  <si>
    <t xml:space="preserve">Contract with: Wallet WAL-05A / WAL-05B</t>
  </si>
  <si>
    <t xml:space="preserve">TC-AO-04-01</t>
  </si>
  <si>
    <t xml:space="preserve">TC-AO-04-02</t>
  </si>
  <si>
    <t xml:space="preserve">TC-AO-04-03</t>
  </si>
  <si>
    <t xml:space="preserve">TC-AO-05-01</t>
  </si>
  <si>
    <t xml:space="preserve">Consume event (AuctionCancelled)</t>
  </si>
  <si>
    <t xml:space="preserve">TC-AO-05-02</t>
  </si>
  <si>
    <t xml:space="preserve">TC-AO-05-03</t>
  </si>
  <si>
    <t xml:space="preserve">TC-E2E-01</t>
  </si>
  <si>
    <t xml:space="preserve">E2E</t>
  </si>
  <si>
    <t xml:space="preserve">COM-CHK-001; COM-CHK-005; COM-PAY-002</t>
  </si>
  <si>
    <t xml:space="preserve">E2E checkout happy path (wallet)</t>
  </si>
  <si>
    <t xml:space="preserve">Clean environment, stubs/real services per scenario. Functions: CART-02; CHK-01; CHK-02; CHK-03; PAY-01</t>
  </si>
  <si>
    <t xml:space="preserve">Add items from 2 sellers -&gt; preview -&gt; checkout -&gt; pay -&gt; Wallet emits WalletDebitedSuccess</t>
  </si>
  <si>
    <t xml:space="preserve">1 group PAID, 2 orders PAID, vouchers USED, cart items removed, OrderPaid x2 in outbox, seller_respond_deadline_at = paid_at+24h</t>
  </si>
  <si>
    <t xml:space="preserve">TC-E2E-02</t>
  </si>
  <si>
    <t xml:space="preserve">E2E checkout expiry</t>
  </si>
  <si>
    <t xml:space="preserve">Clean environment, stubs/real services per scenario. Functions: CHK-02; CHK-06; ORD-22</t>
  </si>
  <si>
    <t xml:space="preserve">Create checkout, do not pay, wait past 15 min</t>
  </si>
  <si>
    <t xml:space="preserve">Group EXPIRED, orders CANCELLED (PAYMENT_TIMEOUT/SYSTEM, was_paid=false), voucher RELEASED, OrderCancelled published, no refund</t>
  </si>
  <si>
    <t xml:space="preserve">TC-E2E-03</t>
  </si>
  <si>
    <t xml:space="preserve">COM-PAY-004; COM-RFD-001</t>
  </si>
  <si>
    <t xml:space="preserve">E2E late payment after expiry</t>
  </si>
  <si>
    <t xml:space="preserve">Clean environment, stubs/real services per scenario. Functions: CHK-06; PAY-01; ORD-14</t>
  </si>
  <si>
    <t xml:space="preserve">Expire group, then deliver WalletDebitedSuccess</t>
  </si>
  <si>
    <t xml:space="preserve">Orders stay CANCELLED, full refund row for checkout_group_id created, OrderRefundRequested published</t>
  </si>
  <si>
    <t xml:space="preserve">TC-E2E-04</t>
  </si>
  <si>
    <t xml:space="preserve">COM-PLT-001; COM-CHK-007</t>
  </si>
  <si>
    <t xml:space="preserve">E2E duplicate checkout request</t>
  </si>
  <si>
    <t xml:space="preserve">Clean environment, stubs/real services per scenario. Functions: CHK-02; ORD-19</t>
  </si>
  <si>
    <t xml:space="preserve">Send same Idempotency-Key twice, then a different key on same cart</t>
  </si>
  <si>
    <t xml:space="preserve">2nd call replays 1st response; different key -&gt; 409 CHECKOUT_ALREADY_OPEN; one group only</t>
  </si>
  <si>
    <t xml:space="preserve">TC-E2E-05</t>
  </si>
  <si>
    <t xml:space="preserve">COM-ORD-007; COM-CNL-004; COM-RFD-003</t>
  </si>
  <si>
    <t xml:space="preserve">E2E seller no response</t>
  </si>
  <si>
    <t xml:space="preserve">Clean environment, stubs/real services per scenario. Functions: PAY-01; ORD-09; ORD-14</t>
  </si>
  <si>
    <t xml:space="preserve">Pay order, advance clock 24h+</t>
  </si>
  <si>
    <t xml:space="preserve">Order CANCELLED (SELLER_NO_RESPONSE), refund REQUESTED -&gt; COMPLETED -&gt; order REFUNDED</t>
  </si>
  <si>
    <t xml:space="preserve">TC-E2E-06</t>
  </si>
  <si>
    <t xml:space="preserve">COM-ORD-005; COM-ORD-008; COM-ORD-009; COM-INV-001</t>
  </si>
  <si>
    <t xml:space="preserve">E2E seller accept -&gt; deliver -&gt; complete</t>
  </si>
  <si>
    <t xml:space="preserve">Clean environment, stubs/real services per scenario. Functions: ORD-04; ORD-10; ORD-07; ORD-15</t>
  </si>
  <si>
    <t xml:space="preserve">Accept, shipment events, buyer confirms</t>
  </si>
  <si>
    <t xml:space="preserve">Status path PAID-&gt;CONFIRMED-&gt;SHIPPING-&gt;DELIVERED-&gt;COMPLETED, history rows complete, invoice GENERATED</t>
  </si>
  <si>
    <t xml:space="preserve">TC-E2E-07</t>
  </si>
  <si>
    <t xml:space="preserve">COM-CNL-001; COM-CNL-002; COM-CNL-004</t>
  </si>
  <si>
    <t xml:space="preserve">E2E buyer cancels paid order</t>
  </si>
  <si>
    <t xml:space="preserve">Clean environment, stubs/real services per scenario. Functions: ORD-06; ORD-14</t>
  </si>
  <si>
    <t xml:space="preserve">Cancel PAID normal order</t>
  </si>
  <si>
    <t xml:space="preserve">order_cancellations row, refund flow, inventory released, one saga COMPLETED</t>
  </si>
  <si>
    <t xml:space="preserve">TC-E2E-08</t>
  </si>
  <si>
    <t xml:space="preserve">COM-AUC-001; COM-AUC-004; COM-PAY-005</t>
  </si>
  <si>
    <t xml:space="preserve">E2E auction order happy path</t>
  </si>
  <si>
    <t xml:space="preserve">Clean environment, stubs/real services per scenario. Functions: AO-01; AO-02; AO-03; PAY-01</t>
  </si>
  <si>
    <t xml:space="preserve">AuctionSettled -&gt; submit shipping -&gt; pay -&gt; WalletDebitedSuccess</t>
  </si>
  <si>
    <t xml:space="preserve">auction_order PAID, OrderCreated emitted with auctionId, OrderPaid carries orderType=AUCTION</t>
  </si>
  <si>
    <t xml:space="preserve">TC-E2E-09</t>
  </si>
  <si>
    <t xml:space="preserve">E2E auction duplicate request</t>
  </si>
  <si>
    <t xml:space="preserve">Clean environment, stubs/real services per scenario. Functions: AO-01</t>
  </si>
  <si>
    <t xml:space="preserve">Deliver AuctionSettled twice</t>
  </si>
  <si>
    <t xml:space="preserve">Exactly one auction_orders row; second message SKIPPED in inbox</t>
  </si>
  <si>
    <t xml:space="preserve">TC-E2E-10</t>
  </si>
  <si>
    <t xml:space="preserve">E2E saga recovery after crash</t>
  </si>
  <si>
    <t xml:space="preserve">Clean environment, stubs/real services per scenario. Functions: CHK-02; ORD-21</t>
  </si>
  <si>
    <t xml:space="preserve">Kill service after TX-1 before reserve</t>
  </si>
  <si>
    <t xml:space="preserve">Recovery job finishes or compensates within 2-7 min; no orphan reservation</t>
  </si>
  <si>
    <t xml:space="preserve">TC-E2E-11</t>
  </si>
  <si>
    <t xml:space="preserve">E2E outbox broker outage</t>
  </si>
  <si>
    <t xml:space="preserve">Clean environment, stubs/real services per scenario. Functions: ORD-20</t>
  </si>
  <si>
    <t xml:space="preserve">Stop broker, create orders, restart broker</t>
  </si>
  <si>
    <t xml:space="preserve">Business TX succeeds, events published in order after restart, no loss/duplicate</t>
  </si>
  <si>
    <t xml:space="preserve">TC-E2E-12</t>
  </si>
  <si>
    <t xml:space="preserve">COM-AUC-006; COM-CNL-002</t>
  </si>
  <si>
    <t xml:space="preserve">E2E auction not paid (Commerce job)</t>
  </si>
  <si>
    <t xml:space="preserve">Clean environment, stubs/real services per scenario. Functions: AO-01; AO-04</t>
  </si>
  <si>
    <t xml:space="preserve">AuctionSettled -&gt; do not pay -&gt; advance clock past paymentDeadlineAt</t>
  </si>
  <si>
    <t xml:space="preserve">AO-04 sets order CANCELLED (PAYMENT_TIMEOUT/SYSTEM, was_paid=false), OrderCancelled(orderType=AUCTION) published, no refund, no CheckPaymentDeadline call</t>
  </si>
  <si>
    <t xml:space="preserve">TC-E2E-13</t>
  </si>
  <si>
    <t xml:space="preserve">COM-AUC-001; COM-AUC-005</t>
  </si>
  <si>
    <t xml:space="preserve">E2E AuctionSettled missing deadline or skuId</t>
  </si>
  <si>
    <t xml:space="preserve">Deliver AuctionSettled without paymentDeadlineAt (and another without skuId)</t>
  </si>
  <si>
    <t xml:space="preserve">No auction_orders row; inbox FAILED with AUCTION_SETTLED_INVALID_PAYLOAD; alert; no fallback value</t>
  </si>
  <si>
    <t xml:space="preserve">TC-E2E-14</t>
  </si>
  <si>
    <t xml:space="preserve">COM-PAY-001; COM-AUC-005</t>
  </si>
  <si>
    <t xml:space="preserve">E2E pay after deadline</t>
  </si>
  <si>
    <t xml:space="preserve">Clean environment, stubs/real services per scenario. Functions: AO-03</t>
  </si>
  <si>
    <t xml:space="preserve">Pay an auction order after payment_deadline_at but before the job ran</t>
  </si>
  <si>
    <t xml:space="preserve">410 DEADLINE_EXPIRED, no payment request sent</t>
  </si>
  <si>
    <t xml:space="preserve">TC-E2E-15</t>
  </si>
  <si>
    <t xml:space="preserve">E2E AuctionCancelled for existing order</t>
  </si>
  <si>
    <t xml:space="preserve">Clean environment, stubs/real services per scenario. Functions: AO-05</t>
  </si>
  <si>
    <t xml:space="preserve">Deliver AuctionCancelled for a session that already has an order</t>
  </si>
  <si>
    <t xml:space="preserve">Order untouched; log + alert Support</t>
  </si>
  <si>
    <t xml:space="preserve">Issue</t>
  </si>
  <si>
    <t xml:space="preserve">Proposal / options</t>
  </si>
  <si>
    <t xml:space="preserve">Owner</t>
  </si>
  <si>
    <t xml:space="preserve">Affected functions</t>
  </si>
  <si>
    <t xml:space="preserve">G01</t>
  </si>
  <si>
    <t xml:space="preserve">Decision</t>
  </si>
  <si>
    <t xml:space="preserve">Decision resolved with Auction 2026-10-27: Commerce enforces the 24h deadline by job (AO-04) and emits OrderCancelled(PAYMENT_TIMEOUT). Auction computes paymentDeadlineAt = determinedAt + 24h and owns AUCTION_PAYMENT_DEADLINE_HOURS. Matches SRS OQ-01 recommendation.</t>
  </si>
  <si>
    <t xml:space="preserve">Closed - no action; SRS section 4.5/5.7/7 must be updated (see SRS_Sync).</t>
  </si>
  <si>
    <t xml:space="preserve">Backlog Lead + Auction lead</t>
  </si>
  <si>
    <t xml:space="preserve">Resolved</t>
  </si>
  <si>
    <t xml:space="preserve">AO-02; AO-03; AO-04; AO-05</t>
  </si>
  <si>
    <t xml:space="preserve">G02</t>
  </si>
  <si>
    <t xml:space="preserve">Auction event that creates the order is AuctionSettled (emitted before payment); AuctionWon is ignored. Earlier plan AuctionOrderRequested is dropped.</t>
  </si>
  <si>
    <t xml:space="preserve">Closed. Confirm OQ-22 (SETTLED state name) and OQ-23 (same eventId on retry) with Auction.</t>
  </si>
  <si>
    <t xml:space="preserve">G03</t>
  </si>
  <si>
    <t xml:space="preserve">Order id goes back to Auction through OrderCreated with orderType=AUCTION. AuctionOrderCreated is not used.</t>
  </si>
  <si>
    <t xml:space="preserve">Closed.</t>
  </si>
  <si>
    <t xml:space="preserve">Commerce + Auction</t>
  </si>
  <si>
    <t xml:space="preserve">AO-01; CHK-02</t>
  </si>
  <si>
    <t xml:space="preserve">OQ-03: who deducts reputation on PAYMENT_TIMEOUT. Spec proposes User listens to OrderCancelled(PAYMENT_TIMEOUT) filtered by AUCTION and owns PAYMENT_TIMEOUT_PENALTY_SCORE; AuctionPaymentTimedOut is not used for penalties. Needs User to confirm.</t>
  </si>
  <si>
    <t xml:space="preserve">Confirm with User; one owner only to avoid double penalty.</t>
  </si>
  <si>
    <t xml:space="preserve">Auction + User</t>
  </si>
  <si>
    <t xml:space="preserve">Open</t>
  </si>
  <si>
    <t xml:space="preserve">AO-04; AO-05; ORD-05</t>
  </si>
  <si>
    <t xml:space="preserve">Payment was split into Wallet. Functions.xlsx assumes POST /internal/v1/payments, GET payments?referenceId, PaymentSucceeded/Failed/Expired, RefundCompleted/Failed.</t>
  </si>
  <si>
    <t xml:space="preserve">Adopt WAL-05A/B, WalletDebitedSuccess/Failed, WalletRefunded. Still needed from Wallet: payment-status lookup, refund-failed event, VNPAY success event.</t>
  </si>
  <si>
    <t xml:space="preserve">CHK-03; CHK-05; CHK-06; PAY-01; ORD-13; ORD-14; ORD-21; AO-03</t>
  </si>
  <si>
    <t xml:space="preserve">Commerce expects all-or-nothing reserve for a whole group; Fulfillment FUL-06 reserves from an event per order.</t>
  </si>
  <si>
    <t xml:space="preserve">Either Commerce emits one OrderCreated per order and treats reservation as async saga step, or Fulfillment adds a group-level API. Recommend async per order + saga compensation.</t>
  </si>
  <si>
    <t xml:space="preserve">CHK-02; ORD-22</t>
  </si>
  <si>
    <t xml:space="preserve">G07</t>
  </si>
  <si>
    <t xml:space="preserve">FUL-17 emits only ShipmentDelivered / DeliveryFailed. PickedUp, InTransit, Returned not emitted.</t>
  </si>
  <si>
    <t xml:space="preserve">Fulfillment to emit them, or Commerce moves to SHIPPING from OrderSellerAccepted + first tracking event.</t>
  </si>
  <si>
    <t xml:space="preserve">Design</t>
  </si>
  <si>
    <t xml:space="preserve">Two entry points to complete an order: Commerce ORD-07 and Fulfillment FUL-23.</t>
  </si>
  <si>
    <t xml:space="preserve">Keep ORD-07 as the only mutation; FUL-23 calls it (or emits event only).</t>
  </si>
  <si>
    <t xml:space="preserve">Commerce + Fulfillment</t>
  </si>
  <si>
    <t xml:space="preserve">Functions.xlsx references Catalog POST /internal/v1/skus:batch-get; Catalog sheet defines CAT-39 and CAT-24.</t>
  </si>
  <si>
    <t xml:space="preserve">Use CAT-39 for purchasability/price, CAT-24 for display data.</t>
  </si>
  <si>
    <t xml:space="preserve">Proposed fix</t>
  </si>
  <si>
    <t xml:space="preserve">CART-01..CART-06; CHK-01; CHK-02; CART-10</t>
  </si>
  <si>
    <t xml:space="preserve">G10</t>
  </si>
  <si>
    <t xml:space="preserve">Naming</t>
  </si>
  <si>
    <t xml:space="preserve">Error names follow SRS and Events spec section 5 (CHECKOUT_ALREADY_OPEN, INVALID_TRANSITION, DEADLINE_EXPIRED, IDEMPOTENCY_KEY_CONFLICT 409 ...). Mapping to Functions.xlsx names is in Error_Codes.</t>
  </si>
  <si>
    <t xml:space="preserve">Closed in this workbook; update Functions.xlsx / API spec.</t>
  </si>
  <si>
    <t xml:space="preserve">User endpoints referenced but not defined: status/trust check at checkout, batch name lookup.</t>
  </si>
  <si>
    <t xml:space="preserve">Ask User service to expose them or fall back to cached names.</t>
  </si>
  <si>
    <t xml:space="preserve">CHK-02; ORD-01; ORD-11</t>
  </si>
  <si>
    <t xml:space="preserve">Scope</t>
  </si>
  <si>
    <t xml:space="preserve">Voucher management APIs are absent in Functions.xlsx; system SRS has no voucher section.</t>
  </si>
  <si>
    <t xml:space="preserve">Add DSC-05..DSC-08 (PROPOSED); confirm with BA that vouchers are in MVP.</t>
  </si>
  <si>
    <t xml:space="preserve">BA</t>
  </si>
  <si>
    <t xml:space="preserve">DSC-01..DSC-08</t>
  </si>
  <si>
    <t xml:space="preserve">Event names: Notification and User listen to OrderSellerRejected / OrderSellerAccepted; Commerce publishes OrderCancelled(SELLER_REJECTED) and OrderConfirmed. InvoiceGenerated is not subscribed by Notification.</t>
  </si>
  <si>
    <t xml:space="preserve">Tell Notification, User and Fulfillment the final names.</t>
  </si>
  <si>
    <t xml:space="preserve">All services</t>
  </si>
  <si>
    <t xml:space="preserve">ORD-05; ORD-15</t>
  </si>
  <si>
    <t xml:space="preserve">CONFIRMED status exists in DB v2 but the system SRS state machine may not.</t>
  </si>
  <si>
    <t xml:space="preserve">Keep CONFIRMED; update SRS.</t>
  </si>
  <si>
    <t xml:space="preserve">G15</t>
  </si>
  <si>
    <t xml:space="preserve">orderType (REGULAR|AUCTION), auctionId, winningBidId are in the shared payload (spec 2.3).</t>
  </si>
  <si>
    <t xml:space="preserve">PAY-01; ORD-05; ORD-06</t>
  </si>
  <si>
    <t xml:space="preserve">G16</t>
  </si>
  <si>
    <t xml:space="preserve">DB</t>
  </si>
  <si>
    <t xml:space="preserve">auction_orders has no payment_attempt_count, so the 3-attempt limit cannot be enforced for auction orders.</t>
  </si>
  <si>
    <t xml:space="preserve">Add column in DB v2.1 or accept unlimited retries until deadline.</t>
  </si>
  <si>
    <t xml:space="preserve">Commerce DB</t>
  </si>
  <si>
    <t xml:space="preserve">G17</t>
  </si>
  <si>
    <t xml:space="preserve">Refund is full-amount only in MVP; partial refund of a group transaction is allowed by DB.</t>
  </si>
  <si>
    <t xml:space="preserve">Keep MVP full only.</t>
  </si>
  <si>
    <t xml:space="preserve">Do vouchers return when a buyer cancels after paying (OQ-09)?</t>
  </si>
  <si>
    <t xml:space="preserve">Default: no return after PAID unless seller-caused.</t>
  </si>
  <si>
    <t xml:space="preserve">'No open dispute' check for auto-complete has no data model.</t>
  </si>
  <si>
    <t xml:space="preserve">Ignore until a dispute module exists.</t>
  </si>
  <si>
    <t xml:space="preserve">Config</t>
  </si>
  <si>
    <t xml:space="preserve">system_settings seed has 7 keys; PLATFORM_MARKUP_PERCENT, AUCTION_PLATFORM_FEE_PERCENT, ORDER_AUTO_COMPLETE_DAYS, etc. are not seeded.</t>
  </si>
  <si>
    <t xml:space="preserve">Add seed rows before Wave 1.</t>
  </si>
  <si>
    <t xml:space="preserve">CART-07; AO-01; ORD-08; ORD-26</t>
  </si>
  <si>
    <t xml:space="preserve">SYSTEM_TIMEZONE default is UTC (SRS COM-ORD-001, section 7). Asia/Ho_Chi_Minh was only a suggestion.</t>
  </si>
  <si>
    <t xml:space="preserve">Use UTC unless BA decides otherwise.</t>
  </si>
  <si>
    <t xml:space="preserve">G22</t>
  </si>
  <si>
    <t xml:space="preserve">Dependency</t>
  </si>
  <si>
    <t xml:space="preserve">Not applicable: Commerce never calls Auction.CheckPaymentDeadline (spec 2.6).</t>
  </si>
  <si>
    <t xml:space="preserve">None.</t>
  </si>
  <si>
    <t xml:space="preserve">Closed</t>
  </si>
  <si>
    <t xml:space="preserve">AO-02; AO-03</t>
  </si>
  <si>
    <t xml:space="preserve">Tax/VAT and guest cart: DB has no tax column and carts.buyer_id is NOT NULL (OQ-04, OQ-08).</t>
  </si>
  <si>
    <t xml:space="preserve">No tax in MVP; guest cart on client, CART-10 optional.</t>
  </si>
  <si>
    <t xml:space="preserve">CART-07; CART-10</t>
  </si>
  <si>
    <t xml:space="preserve">Tech</t>
  </si>
  <si>
    <t xml:space="preserve">Broker: Commerce sheet says Kafka or RabbitMQ; other services use RabbitMQ.</t>
  </si>
  <si>
    <t xml:space="preserve">Use RabbitMQ with MassTransit (.NET) outbox.</t>
  </si>
  <si>
    <t xml:space="preserve">Architect</t>
  </si>
  <si>
    <t xml:space="preserve">G25</t>
  </si>
  <si>
    <t xml:space="preserve">Behavior</t>
  </si>
  <si>
    <t xml:space="preserve">ShipmentFailed handling: stay SHIPPING and alert Support (OQ-11).</t>
  </si>
  <si>
    <t xml:space="preserve">Confirm with BA.</t>
  </si>
  <si>
    <t xml:space="preserve">Ops</t>
  </si>
  <si>
    <t xml:space="preserve">Job intervals/alerting channels are not defined (cart hourly vs 1-min jobs; refund reconciliation).</t>
  </si>
  <si>
    <t xml:space="preserve">Define in ops spec; use Hangfire/Quartz with distributed lock in .NET.</t>
  </si>
  <si>
    <t xml:space="preserve">CART-09; ORD-21; ORD-24; ORD-25</t>
  </si>
  <si>
    <t xml:space="preserve">G27</t>
  </si>
  <si>
    <t xml:space="preserve">Source</t>
  </si>
  <si>
    <t xml:space="preserve">Sheet 'Error Codes' referenced by Functions.xlsx does not exist.</t>
  </si>
  <si>
    <t xml:space="preserve">Error codes derived from the Commerce rows (see API_Catalog).</t>
  </si>
  <si>
    <t xml:space="preserve">Assumption</t>
  </si>
  <si>
    <t xml:space="preserve">All</t>
  </si>
  <si>
    <t xml:space="preserve">G28</t>
  </si>
  <si>
    <t xml:space="preserve">Sheets 'Status &amp; Formula' and 'Design Decisions' referenced but missing.</t>
  </si>
  <si>
    <t xml:space="preserve">Derived from SRS_Commerce_Service_v1 + DB_Commerce_v2.</t>
  </si>
  <si>
    <t xml:space="preserve">G29</t>
  </si>
  <si>
    <t xml:space="preserve">RBAC</t>
  </si>
  <si>
    <t xml:space="preserve">Voucher privileges (DISCOUNT.*) are not in SRS 2.7.</t>
  </si>
  <si>
    <t xml:space="preserve">Add DISCOUNT.CREATE/UPDATE/VIEW to RBAC matrix.</t>
  </si>
  <si>
    <t xml:space="preserve">DSC-05; DSC-06; DSC-07</t>
  </si>
  <si>
    <t xml:space="preserve">G32</t>
  </si>
  <si>
    <t xml:space="preserve">SRS sync</t>
  </si>
  <si>
    <t xml:space="preserve">SRS_Commerce_Service_v1 is behind the agreed Events spec on the auction flow and several events.</t>
  </si>
  <si>
    <t xml:space="preserve">Apply the items in sheet SRS_Sync.</t>
  </si>
  <si>
    <t xml:space="preserve">AO-01..AO-05</t>
  </si>
  <si>
    <t xml:space="preserve">Open (Auction)</t>
  </si>
  <si>
    <t xml:space="preserve">OQ-22: SETTLED in Auction Flow4 is only an internal state name? OQ-23: does Auction keep the same eventId when retrying AuctionSettled?</t>
  </si>
  <si>
    <t xml:space="preserve">Wait for Auction confirmation; unique auction_id already prevents a second order.</t>
  </si>
  <si>
    <t xml:space="preserve">AO-01; AO-05</t>
  </si>
  <si>
    <t xml:space="preserve">G34</t>
  </si>
  <si>
    <t xml:space="preserve">Event names introduced here but not in SRS 5.2 (CheckoutCompleted/Expired/Cancelled, OrderShipped, OrderDelivered, InvoiceGenerated).</t>
  </si>
  <si>
    <t xml:space="preserve">Add to SRS 5.2 after review (SRS 4.2 requires contract review) or drop.</t>
  </si>
  <si>
    <t xml:space="preserve">BA + Commerce</t>
  </si>
  <si>
    <t xml:space="preserve">PAY-01; CHK-06; CHK-05; ORD-10; ORD-15</t>
  </si>
  <si>
    <t xml:space="preserve">G35</t>
  </si>
  <si>
    <t xml:space="preserve">Conflict</t>
  </si>
  <si>
    <t xml:space="preserve">Events spec API 13 lets a buyer cancel a single PENDING_PAYMENT order; SRS COM-CHK-010 cancels the whole group only.</t>
  </si>
  <si>
    <t xml:space="preserve">SRS wins: use CHK-05 for unpaid orders. Update spec API 13.</t>
  </si>
  <si>
    <t xml:space="preserve">CHK-05; ORD-06</t>
  </si>
  <si>
    <t xml:space="preserve">G36</t>
  </si>
  <si>
    <t xml:space="preserve">4 requirement IDs created in this workbook are not in the SRS: COM-ORD-013 (rating eligibility), COM-AUC-009 (AuctionCancelled handling), COM-PLT-010 (inbox retry), COM-RFD-006 (refund reconciliation alert).</t>
  </si>
  <si>
    <t xml:space="preserve">Add them to SRS section 4 or remove the functions.</t>
  </si>
  <si>
    <t xml:space="preserve">ORD-23; AO-05; ORD-24; ORD-25</t>
  </si>
  <si>
    <t xml:space="preserve">G30</t>
  </si>
  <si>
    <t xml:space="preserve">Adopting CloudEvents requires Auction, Wallet, Fulfillment, Notification, User and Catalog to use the same envelope, attributes and naming.</t>
  </si>
  <si>
    <t xml:space="preserve">Propose one platform-wide event convention doc (this CloudEvents_Spec). Commerce dual-publishes legacy name for 1 release.</t>
  </si>
  <si>
    <t xml:space="preserve">Architect / all leads</t>
  </si>
  <si>
    <t xml:space="preserve">ORD-20; all publishers/consumers</t>
  </si>
  <si>
    <t xml:space="preserve">G31</t>
  </si>
  <si>
    <t xml:space="preserve">Namespace (com.nexus), dataschema host and where JSON Schemas live are assumed.</t>
  </si>
  <si>
    <t xml:space="preserve">Create contracts/ repo folder with JSON Schemas + CI compatibility check.</t>
  </si>
  <si>
    <t xml:space="preserve">#</t>
  </si>
  <si>
    <t xml:space="preserve">SRS_Commerce_Service_v1 section</t>
  </si>
  <si>
    <t xml:space="preserve">Current SRS text</t>
  </si>
  <si>
    <t xml:space="preserve">Proposed change (agreed or from this workbook)</t>
  </si>
  <si>
    <t xml:space="preserve">Earlier diff ref</t>
  </si>
  <si>
    <t xml:space="preserve">S01</t>
  </si>
  <si>
    <t xml:space="preserve">4.5 COM-AUC-001, 5.3, 10.1</t>
  </si>
  <si>
    <t xml:space="preserve">Order is created from AuctionWon</t>
  </si>
  <si>
    <t xml:space="preserve">Create from AuctionSettled (emitted when the winner is determined, before payment); AuctionWon ignored by Commerce</t>
  </si>
  <si>
    <t xml:space="preserve">Events spec 0.2 #1, 2.5</t>
  </si>
  <si>
    <t xml:space="preserve">A1</t>
  </si>
  <si>
    <t xml:space="preserve">S02</t>
  </si>
  <si>
    <t xml:space="preserve">4.5 COM-AUC-005</t>
  </si>
  <si>
    <t xml:space="preserve">paymentDeadlineAt from the event, fallback settledAt + 24h</t>
  </si>
  <si>
    <t xml:space="preserve">paymentDeadlineAt and skuId are mandatory; if missing reject (inbox FAILED), no fallback; value used as-is</t>
  </si>
  <si>
    <t xml:space="preserve">Events spec 0.2 #2, 2.5.3</t>
  </si>
  <si>
    <t xml:space="preserve">A2, A3</t>
  </si>
  <si>
    <t xml:space="preserve">S03</t>
  </si>
  <si>
    <t xml:space="preserve">7 Config</t>
  </si>
  <si>
    <t xml:space="preserve">AUCTION_PAYMENT_DEADLINE_HOURS listed as Commerce config</t>
  </si>
  <si>
    <t xml:space="preserve">Owned by Auction; Commerce does not keep it</t>
  </si>
  <si>
    <t xml:space="preserve">Events spec 1.2, 2.6</t>
  </si>
  <si>
    <t xml:space="preserve">A4</t>
  </si>
  <si>
    <t xml:space="preserve">S04</t>
  </si>
  <si>
    <t xml:space="preserve">5.2, 5.7 item 1</t>
  </si>
  <si>
    <t xml:space="preserve">Auction listens to OrderPaymentFailed</t>
  </si>
  <si>
    <t xml:space="preserve">Auction does not need it (optional consumer)</t>
  </si>
  <si>
    <t xml:space="preserve">Events spec 2.4.4, 6.1 #9</t>
  </si>
  <si>
    <t xml:space="preserve">A5</t>
  </si>
  <si>
    <t xml:space="preserve">S05</t>
  </si>
  <si>
    <t xml:space="preserve">5.7</t>
  </si>
  <si>
    <t xml:space="preserve">Header: PROPOSED, not confirmed by Auction</t>
  </si>
  <si>
    <t xml:space="preserve">Mark AGREED (Auction 2026-10-27); add AuctionSettled, AuctionWon ignored, OrderCreated(AUCTION) as the way Auction gets orderId</t>
  </si>
  <si>
    <t xml:space="preserve">Events spec 2.6, 6.1</t>
  </si>
  <si>
    <t xml:space="preserve">S06</t>
  </si>
  <si>
    <t xml:space="preserve">5.7 item 2, OQ-01</t>
  </si>
  <si>
    <t xml:space="preserve">Auction emits AuctionPaymentTimeout</t>
  </si>
  <si>
    <t xml:space="preserve">Name is AuctionPaymentTimedOut, owned by Auction, not used to deduct reputation</t>
  </si>
  <si>
    <t xml:space="preserve">Events spec 2.6 #4</t>
  </si>
  <si>
    <t xml:space="preserve">A6</t>
  </si>
  <si>
    <t xml:space="preserve">S07</t>
  </si>
  <si>
    <t xml:space="preserve">5.3</t>
  </si>
  <si>
    <t xml:space="preserve">AuctionCancelled: no effect</t>
  </si>
  <si>
    <t xml:space="preserve">Existing order: log + alert Support, never change state (not expected to happen)</t>
  </si>
  <si>
    <t xml:space="preserve">Events spec 2.5, 2.6 #5</t>
  </si>
  <si>
    <t xml:space="preserve">S08</t>
  </si>
  <si>
    <t xml:space="preserve">10 OQ-01, OQ-02</t>
  </si>
  <si>
    <t xml:space="preserve">Close both. OQ-03 remains open with the spec proposal. Add OQ-21 (5 vs 15 min), OQ-22, OQ-23, OQ-24</t>
  </si>
  <si>
    <t xml:space="preserve">Events spec 6.2</t>
  </si>
  <si>
    <t xml:space="preserve">S09</t>
  </si>
  <si>
    <t xml:space="preserve">10.1</t>
  </si>
  <si>
    <t xml:space="preserve">Auction orders created from AuctionWon</t>
  </si>
  <si>
    <t xml:space="preserve">Created from AuctionSettled</t>
  </si>
  <si>
    <t xml:space="preserve">Events spec 6.1</t>
  </si>
  <si>
    <t xml:space="preserve">S10</t>
  </si>
  <si>
    <t xml:space="preserve">No seller-confirm event</t>
  </si>
  <si>
    <t xml:space="preserve">Add OrderConfirmed [PROPOSED] (renamed from OrderSellerAccepted, OQ-20)</t>
  </si>
  <si>
    <t xml:space="preserve">Events spec 2.4.5</t>
  </si>
  <si>
    <t xml:space="preserve">A7</t>
  </si>
  <si>
    <t xml:space="preserve">S11</t>
  </si>
  <si>
    <t xml:space="preserve">Inventory events</t>
  </si>
  <si>
    <t xml:space="preserve">Add InventoryReservationFailed [PROPOSED] as compensation trigger</t>
  </si>
  <si>
    <t xml:space="preserve">Events spec 2.5</t>
  </si>
  <si>
    <t xml:space="preserve">S12</t>
  </si>
  <si>
    <t xml:space="preserve">Common payload</t>
  </si>
  <si>
    <t xml:space="preserve">Add paymentDeadlineAt to all; OrderPaid adds walletTransactionId, sellerRespondDeadlineAt; OrderCreated payload with items (REGULAR) and winningAmount (AUCTION)</t>
  </si>
  <si>
    <t xml:space="preserve">Events spec 2.3, 2.4</t>
  </si>
  <si>
    <t xml:space="preserve">S13</t>
  </si>
  <si>
    <t xml:space="preserve">4.10</t>
  </si>
  <si>
    <t xml:space="preserve">Job intervals OPEN</t>
  </si>
  <si>
    <t xml:space="preserve">Proposed: CHK-06 15 s, AUC-PAY 1 min, ORD-09 1 min, ORD-08 / CART-09 1 h, ORD-20 ~1 s batch 100, ORD-21 2 min</t>
  </si>
  <si>
    <t xml:space="preserve">Events spec 3.4</t>
  </si>
  <si>
    <t xml:space="preserve">S14</t>
  </si>
  <si>
    <t xml:space="preserve">4.2 COM-CHK-010 / spec API 13</t>
  </si>
  <si>
    <t xml:space="preserve">Buyer cancels the whole group only</t>
  </si>
  <si>
    <t xml:space="preserve">Resolve G35: keep SRS; fix spec API 13</t>
  </si>
  <si>
    <t xml:space="preserve">this workbook</t>
  </si>
  <si>
    <t xml:space="preserve">A8</t>
  </si>
  <si>
    <t xml:space="preserve">S15</t>
  </si>
  <si>
    <t xml:space="preserve">5.4 envelope</t>
  </si>
  <si>
    <t xml:space="preserve">eventId, eventType, aggregateType ...</t>
  </si>
  <si>
    <t xml:space="preserve">If CloudEvents is adopted, replace with the mapping in CloudEvents_Spec (needs re-agreement with Auction, G30)</t>
  </si>
  <si>
    <t xml:space="preserve">CloudEvents_Spec</t>
  </si>
  <si>
    <t xml:space="preserve">S16</t>
  </si>
  <si>
    <t xml:space="preserve">4 (new IDs)</t>
  </si>
  <si>
    <t xml:space="preserve">Add COM-ORD-013, COM-AUC-009, COM-PLT-010, COM-RFD-006 or drop the functions (G36)</t>
  </si>
  <si>
    <t xml:space="preserve">Backlog</t>
  </si>
  <si>
    <t xml:space="preserve">S17</t>
  </si>
  <si>
    <t xml:space="preserve">Events not in 5.2</t>
  </si>
  <si>
    <t xml:space="preserve">Review CheckoutCompleted/Expired/Cancelled, OrderShipped, OrderDelivered, InvoiceGenerated (G34)</t>
  </si>
  <si>
    <t xml:space="preserve">Event_Catalog</t>
  </si>
  <si>
    <t xml:space="preserve">S18</t>
  </si>
  <si>
    <t xml:space="preserve">System SRS 3.5.3.5</t>
  </si>
  <si>
    <t xml:space="preserve">Auction enforces the deadline and applies penalty</t>
  </si>
  <si>
    <t xml:space="preserve">Out of Commerce scope but now contradicted: system SRS must say Commerce enforces, Auction computes the deadline</t>
  </si>
  <si>
    <t xml:space="preserve">Events spec 2.6</t>
  </si>
  <si>
    <t xml:space="preserve">HTTP</t>
  </si>
  <si>
    <t xml:space="preserve">Error code (SRS / Events spec name)</t>
  </si>
  <si>
    <t xml:space="preserve">Used by functions</t>
  </si>
  <si>
    <t xml:space="preserve"># functions</t>
  </si>
  <si>
    <t xml:space="preserve">Functions.xlsx name (legacy)</t>
  </si>
  <si>
    <t xml:space="preserve">400</t>
  </si>
  <si>
    <t xml:space="preserve">VALIDATION_ERROR</t>
  </si>
  <si>
    <t xml:space="preserve">CART-02, CART-03, CART-05, CART-10, CHK-02, DSC-05, DSC-06, ORD-01, ORD-03, ORD-11, ORD-12</t>
  </si>
  <si>
    <t xml:space="preserve">VAL_IDEMPOTENCY_KEY_REQUIRED</t>
  </si>
  <si>
    <t xml:space="preserve">IDEMPOTENCY_KEY_REQUIRED</t>
  </si>
  <si>
    <t xml:space="preserve">402</t>
  </si>
  <si>
    <t xml:space="preserve">INSUFFICIENT_WALLET_BALANCE</t>
  </si>
  <si>
    <t xml:space="preserve">403</t>
  </si>
  <si>
    <t xml:space="preserve">FORBIDDEN</t>
  </si>
  <si>
    <t xml:space="preserve">REPUTATION_RESTRICTED</t>
  </si>
  <si>
    <t xml:space="preserve">404</t>
  </si>
  <si>
    <t xml:space="preserve">CART_ITEM_NOT_FOUND</t>
  </si>
  <si>
    <t xml:space="preserve">CHECKOUT_GROUP_NOT_FOUND</t>
  </si>
  <si>
    <t xml:space="preserve">CHK-03, CHK-04</t>
  </si>
  <si>
    <t xml:space="preserve">CHECKOUT_NOT_FOUND</t>
  </si>
  <si>
    <t xml:space="preserve">INVOICE_NOT_READY</t>
  </si>
  <si>
    <t xml:space="preserve">ORDER_NOT_FOUND</t>
  </si>
  <si>
    <t xml:space="preserve">ORD-02, ORD-04, ORD-06, ORD-16, ORD-23</t>
  </si>
  <si>
    <t xml:space="preserve">PRODUCT_NOT_FOUND</t>
  </si>
  <si>
    <t xml:space="preserve">SELLER_NOT_FOUND</t>
  </si>
  <si>
    <t xml:space="preserve">VOUCHER_NOT_FOUND</t>
  </si>
  <si>
    <t xml:space="preserve">409</t>
  </si>
  <si>
    <t xml:space="preserve">CANNOT_BUY_OWN_PRODUCT</t>
  </si>
  <si>
    <t xml:space="preserve">CART_EMPTY</t>
  </si>
  <si>
    <t xml:space="preserve">CART-06, CHK-01</t>
  </si>
  <si>
    <t xml:space="preserve">CART_INVALID</t>
  </si>
  <si>
    <t xml:space="preserve">CART_ITEM_LIMIT_EXCEEDED</t>
  </si>
  <si>
    <t xml:space="preserve">CART_LOCKED</t>
  </si>
  <si>
    <t xml:space="preserve">CART-02, CART-03, CART-04, CART-05, CART-10</t>
  </si>
  <si>
    <t xml:space="preserve">CHECKOUT_ALREADY_OPEN</t>
  </si>
  <si>
    <t xml:space="preserve">CHECKOUT_ALREADY_PENDING</t>
  </si>
  <si>
    <t xml:space="preserve">CHECKOUT_NOT_CANCELLABLE</t>
  </si>
  <si>
    <t xml:space="preserve">CHECKOUT_NOT_PAYABLE</t>
  </si>
  <si>
    <t xml:space="preserve">CONCURRENT_UPDATE</t>
  </si>
  <si>
    <t xml:space="preserve">IDEMPOTENCY_KEY_CONFLICT</t>
  </si>
  <si>
    <t xml:space="preserve">CHK-02, ORD-06, ORD-13, ORD-19</t>
  </si>
  <si>
    <t xml:space="preserve">IDEMPOTENCY_KEY_REUSED</t>
  </si>
  <si>
    <t xml:space="preserve">INSUFFICIENT_STOCK</t>
  </si>
  <si>
    <t xml:space="preserve">CART-02, CART-03, CHK-02</t>
  </si>
  <si>
    <t xml:space="preserve">INVALID_TRANSITION</t>
  </si>
  <si>
    <t xml:space="preserve">INVALID_STATUS_TRANSITION</t>
  </si>
  <si>
    <t xml:space="preserve">ORDER_NOT_CANCELLABLE</t>
  </si>
  <si>
    <t xml:space="preserve">ORDER_STATE_CONFLICT</t>
  </si>
  <si>
    <t xml:space="preserve">ORD-04, ORD-05, ORD-07, ORD-18, AO-02, AO-03</t>
  </si>
  <si>
    <t xml:space="preserve">PAYMENT_ATTEMPT_LIMIT_REACHED</t>
  </si>
  <si>
    <t xml:space="preserve">PAYMENT_RETRY_LIMIT_EXCEEDED</t>
  </si>
  <si>
    <t xml:space="preserve">PAYMENT_IN_PROGRESS</t>
  </si>
  <si>
    <t xml:space="preserve">CHK-05, ORD-06</t>
  </si>
  <si>
    <t xml:space="preserve">PRICE_CHANGED</t>
  </si>
  <si>
    <t xml:space="preserve">PRODUCT_IN_AUCTION</t>
  </si>
  <si>
    <t xml:space="preserve">PRODUCT_NOT_AVAILABLE</t>
  </si>
  <si>
    <t xml:space="preserve">CART-02, CART-03</t>
  </si>
  <si>
    <t xml:space="preserve">REFUND_ALREADY_REQUESTED</t>
  </si>
  <si>
    <t xml:space="preserve">REFUND_NOT_ALLOWED</t>
  </si>
  <si>
    <t xml:space="preserve">REQUEST_IN_PROGRESS</t>
  </si>
  <si>
    <t xml:space="preserve">SHIPPING_INFO_REQUIRED</t>
  </si>
  <si>
    <t xml:space="preserve">VOUCHER_ALREADY_USED</t>
  </si>
  <si>
    <t xml:space="preserve">VOUCHER_CODE_EXISTS</t>
  </si>
  <si>
    <t xml:space="preserve">VOUCHER_INVALID</t>
  </si>
  <si>
    <t xml:space="preserve">410</t>
  </si>
  <si>
    <t xml:space="preserve">DEADLINE_EXPIRED</t>
  </si>
  <si>
    <t xml:space="preserve">CHK-03, ORD-04, AO-02, AO-03</t>
  </si>
  <si>
    <t xml:space="preserve">PAYMENT_DEADLINE_PASSED</t>
  </si>
  <si>
    <t xml:space="preserve">422</t>
  </si>
  <si>
    <t xml:space="preserve">PRICING_ERROR</t>
  </si>
  <si>
    <t xml:space="preserve">502</t>
  </si>
  <si>
    <t xml:space="preserve">PAYMENT_GATEWAY_ERROR</t>
  </si>
  <si>
    <t xml:space="preserve">503</t>
  </si>
  <si>
    <t xml:space="preserve">CATALOG_UNAVAILABLE</t>
  </si>
  <si>
    <t xml:space="preserve">CART-02, CART-06</t>
  </si>
  <si>
    <t xml:space="preserve">FULFILLMENT_UNAVAILABLE</t>
  </si>
  <si>
    <t xml:space="preserve">SHIPPING_QUOTE_UNAVAILABLE</t>
  </si>
  <si>
    <t xml:space="preserve">Coverage summary (all values are live formulas)</t>
  </si>
  <si>
    <t xml:space="preserve">Functions by module</t>
  </si>
  <si>
    <t xml:space="preserve">Count</t>
  </si>
  <si>
    <t xml:space="preserve">Total</t>
  </si>
  <si>
    <t xml:space="preserve">Functions by priority</t>
  </si>
  <si>
    <t xml:space="preserve">Functions by wave (0 = foundation)</t>
  </si>
  <si>
    <t xml:space="preserve">Functions by change vs Functions.xlsx</t>
  </si>
  <si>
    <t xml:space="preserve">Functions by kind</t>
  </si>
  <si>
    <t xml:space="preserve">Requirement coverage (Trace_Matrix)</t>
  </si>
  <si>
    <t xml:space="preserve">COVERED</t>
  </si>
  <si>
    <t xml:space="preserve">THIN</t>
  </si>
  <si>
    <t xml:space="preserve">NO TEST</t>
  </si>
  <si>
    <t xml:space="preserve">GAP - no function</t>
  </si>
  <si>
    <t xml:space="preserve">Check: total requirements</t>
  </si>
  <si>
    <t xml:space="preserve">Test cases by type</t>
  </si>
  <si>
    <t xml:space="preserve">Open items</t>
  </si>
  <si>
    <t xml:space="preserve">Gap status</t>
  </si>
  <si>
    <t xml:space="preserve">Functions without tests</t>
  </si>
  <si>
    <t xml:space="preserve">Tables unused / read-only (DB_Trace)</t>
  </si>
  <si>
    <t xml:space="preserve">Area</t>
  </si>
  <si>
    <t xml:space="preserve">Item</t>
  </si>
  <si>
    <t xml:space="preserve">Commerce rule / value</t>
  </si>
  <si>
    <t xml:space="preserve">Notes</t>
  </si>
  <si>
    <t xml:space="preserve">Standard</t>
  </si>
  <si>
    <t xml:space="preserve">Spec</t>
  </si>
  <si>
    <t xml:space="preserve">CloudEvents v1.0.2, JSON event format, STRUCTURED content mode</t>
  </si>
  <si>
    <t xml:space="preserve">Body is the full envelope; Content-Type: application/cloudevents+json; charset=utf-8. Reason: broker-agnostic, easy to log/replay/store in outbox.</t>
  </si>
  <si>
    <t xml:space="preserve">Delivery</t>
  </si>
  <si>
    <t xml:space="preserve">At-least-once; consumer dedupe on (source, id)</t>
  </si>
  <si>
    <t xml:space="preserve">Matches existing inbox PK (message_id, consumer): message_id = CloudEvents id. A republish MUST keep the same id.</t>
  </si>
  <si>
    <t xml:space="preserve">Attribute</t>
  </si>
  <si>
    <t xml:space="preserve">id (required)</t>
  </si>
  <si>
    <t xml:space="preserve">outbox_messages.id (uuid, string form)</t>
  </si>
  <si>
    <t xml:space="preserve">Globally unique per source. Never regenerate on retry.</t>
  </si>
  <si>
    <t xml:space="preserve">source (required)</t>
  </si>
  <si>
    <t xml:space="preserve">/services/commerce</t>
  </si>
  <si>
    <t xml:space="preserve">URI-reference identifying the producer service. Constant per service (Auction: /services/auction, Wallet: /services/wallet, Fulfillment: /services/fulfillment).</t>
  </si>
  <si>
    <t xml:space="preserve">specversion (required)</t>
  </si>
  <si>
    <t xml:space="preserve">1.0</t>
  </si>
  <si>
    <t xml:space="preserve">Constant.</t>
  </si>
  <si>
    <t xml:space="preserve">type (required)</t>
  </si>
  <si>
    <t xml:space="preserve">com.nexus.commerce.&lt;aggregate&gt;.&lt;action&gt;.v&lt;major&gt;</t>
  </si>
  <si>
    <t xml:space="preserve">Reverse-DNS, lowercase, dot-separated, kebab-case words, version suffix. Example: com.nexus.commerce.order.paid.v1. outbox_messages.event_type stores this value.</t>
  </si>
  <si>
    <t xml:space="preserve">subject (optional, we always set)</t>
  </si>
  <si>
    <t xml:space="preserve">aggregate id (outbox_messages.aggregate_id)</t>
  </si>
  <si>
    <t xml:space="preserve">orderId / auctionOrderId / checkoutGroupId / cartId. Lets consumers filter without parsing data.</t>
  </si>
  <si>
    <t xml:space="preserve">time (optional, we always set)</t>
  </si>
  <si>
    <t xml:space="preserve">outbox_messages.occurred_at, RFC 3339 UTC</t>
  </si>
  <si>
    <t xml:space="preserve">Business time of the fact, not publish time.</t>
  </si>
  <si>
    <t xml:space="preserve">datacontenttype</t>
  </si>
  <si>
    <t xml:space="preserve">application/json</t>
  </si>
  <si>
    <t xml:space="preserve">Describes the data member.</t>
  </si>
  <si>
    <t xml:space="preserve">dataschema</t>
  </si>
  <si>
    <t xml:space="preserve">https://schemas.nexus.internal/commerce/&lt;aggregate&gt;-&lt;action&gt;/&lt;major&gt;.&lt;minor&gt;</t>
  </si>
  <si>
    <t xml:space="preserve">Assumed host; schema is JSON Schema stored in repo (contracts/). See G31.</t>
  </si>
  <si>
    <t xml:space="preserve">Extension</t>
  </si>
  <si>
    <t xml:space="preserve">traceparent</t>
  </si>
  <si>
    <t xml:space="preserve">W3C Trace Context</t>
  </si>
  <si>
    <t xml:space="preserve">Distributed Tracing extension; required for checkout (SRS 5.5). Copy from current Activity.</t>
  </si>
  <si>
    <t xml:space="preserve">correlationid</t>
  </si>
  <si>
    <t xml:space="preserve">checkout_group_id / auction_id / saga correlation_id</t>
  </si>
  <si>
    <t xml:space="preserve">Groups all events of one business flow.</t>
  </si>
  <si>
    <t xml:space="preserve">causationid</t>
  </si>
  <si>
    <t xml:space="preserve">id of the event or command that caused this one</t>
  </si>
  <si>
    <t xml:space="preserve">Debugging chains (e.g. order.paid caused by wallet.debit.succeeded).</t>
  </si>
  <si>
    <t xml:space="preserve">partitionkey</t>
  </si>
  <si>
    <t xml:space="preserve">aggregate_id</t>
  </si>
  <si>
    <t xml:space="preserve">Ordering per aggregate (Partitioning extension).</t>
  </si>
  <si>
    <t xml:space="preserve">ordertype</t>
  </si>
  <si>
    <t xml:space="preserve">REGULAR | AUCTION</t>
  </si>
  <si>
    <t xml:space="preserve">Cheap broker-side filter so Auction does not receive normal orders (COM-AUC-008). Also repeated inside data.</t>
  </si>
  <si>
    <t xml:space="preserve">Aggregate list</t>
  </si>
  <si>
    <t xml:space="preserve">cart, checkout, order, order-refund, invoice, auction-order</t>
  </si>
  <si>
    <t xml:space="preserve">Action in past tense for facts: created, paid, cancelled, completed. Commands are not events.</t>
  </si>
  <si>
    <t xml:space="preserve">Routing</t>
  </si>
  <si>
    <t xml:space="preserve">RabbitMQ: exchange commerce.events (topic), routing key = type without version, e.g. commerce.order.paid</t>
  </si>
  <si>
    <t xml:space="preserve">Consumers bind by pattern; major version in a header/attribute allows side-by-side v1 and v2.</t>
  </si>
  <si>
    <t xml:space="preserve">Versioning</t>
  </si>
  <si>
    <t xml:space="preserve">Compatible change</t>
  </si>
  <si>
    <t xml:space="preserve">Add optional field -&gt; same type, minor in dataschema</t>
  </si>
  <si>
    <t xml:space="preserve">Consumers must ignore unknown fields.</t>
  </si>
  <si>
    <t xml:space="preserve">Breaking change</t>
  </si>
  <si>
    <t xml:space="preserve">New type ...v2; publish v1 and v2 in parallel for &gt;= 1 release</t>
  </si>
  <si>
    <t xml:space="preserve">Remove v1 only after all consumers confirm.</t>
  </si>
  <si>
    <t xml:space="preserve">Data rules</t>
  </si>
  <si>
    <t xml:space="preserve">Money</t>
  </si>
  <si>
    <t xml:space="preserve">JSON number matching numeric(18,2), e.g. 255000.00 (as in the agreed spec)</t>
  </si>
  <si>
    <t xml:space="preserve">Currency is implicit (VND); no currency field in the agreed payloads.</t>
  </si>
  <si>
    <t xml:space="preserve">Ids / time</t>
  </si>
  <si>
    <t xml:space="preserve">UUID strings; timestamps RFC 3339 UTC</t>
  </si>
  <si>
    <t xml:space="preserve">IDs of other services are plain UUIDs (no FK).</t>
  </si>
  <si>
    <t xml:space="preserve">PII</t>
  </si>
  <si>
    <t xml:space="preserve">No address, phone or email in data</t>
  </si>
  <si>
    <t xml:space="preserve">Consumers fetch through APIs; address snapshots stay in orders.</t>
  </si>
  <si>
    <t xml:space="preserve">Size</t>
  </si>
  <si>
    <t xml:space="preserve">data &lt;= 64 KB</t>
  </si>
  <si>
    <t xml:space="preserve">Send ids + key facts, not full order graphs.</t>
  </si>
  <si>
    <t xml:space="preserve">Mapping</t>
  </si>
  <si>
    <t xml:space="preserve">Outbox -&gt; CloudEvents</t>
  </si>
  <si>
    <t xml:space="preserve">id=id; type=event_type; subject=aggregate_id; time=occurred_at; data=payload; extensions=headers; source constant</t>
  </si>
  <si>
    <t xml:space="preserve">No DB change required. headers must hold traceparent, correlationid, causationid, ordertype.</t>
  </si>
  <si>
    <t xml:space="preserve">message_id=id; consumer=name; event_type=type</t>
  </si>
  <si>
    <t xml:space="preserve">No DB change required.</t>
  </si>
  <si>
    <t xml:space="preserve">Implementation (.NET)</t>
  </si>
  <si>
    <t xml:space="preserve">Library</t>
  </si>
  <si>
    <t xml:space="preserve">CloudNative.CloudEvents + CloudNative.CloudEvents.SystemTextJson</t>
  </si>
  <si>
    <t xml:space="preserve">ORD-20 publisher builds CloudEvent from the outbox row and sends it as structured JSON (if MassTransit is used, send the CloudEvent JSON as a raw message / custom serializer instead of the MassTransit envelope).</t>
  </si>
  <si>
    <t xml:space="preserve">Consumer rejects events missing id/source/type/specversion or with unknown specversion</t>
  </si>
  <si>
    <t xml:space="preserve">Rejected message -&gt; inbox FAILED + dead-letter, never silently dropped.</t>
  </si>
  <si>
    <t xml:space="preserve">Migration</t>
  </si>
  <si>
    <t xml:space="preserve">Dual publish</t>
  </si>
  <si>
    <t xml:space="preserve">Legacy PascalCase name (OrderPaid) kept in attribute 'legacytype' for 1 release</t>
  </si>
  <si>
    <t xml:space="preserve">Only if CloudEvents is adopted (G30).</t>
  </si>
  <si>
    <t xml:space="preserve">Cross-service</t>
  </si>
  <si>
    <t xml:space="preserve">All services must adopt the same envelope</t>
  </si>
  <si>
    <t xml:space="preserve">See G30; Commerce cannot do it alone.</t>
  </si>
  <si>
    <t xml:space="preserve">Agreed spec envelope -&gt; CloudEvents</t>
  </si>
  <si>
    <t xml:space="preserve">eventId-&gt;id; eventType-&gt;type (reverse-DNS + version); aggregateId-&gt;subject; occurredAt-&gt;time; aggregateType-&gt;(part of type); headers.traceId-&gt;traceparent; headers.correlationId-&gt;correlationid; headers.schemaVersion-&gt;dataschema; payload-&gt;data</t>
  </si>
  <si>
    <t xml:space="preserve">STATUS: COMMERCE_EVENTS_AND_ASYNC_SPEC v2.1 envelope is the one agreed with Auction. CloudEvents is a proposal until Auction and the other services re-agree (G30).</t>
  </si>
  <si>
    <t xml:space="preserve">Data differences from the agreed spec</t>
  </si>
  <si>
    <t xml:space="preserve">orderType REGULAR|AUCTION; money as JSON numbers (numeric(18,2)); attemptCount; totalAmount; originalWalletTransactionId</t>
  </si>
  <si>
    <t xml:space="preserve">Catalog follows the agreed spec payloads (section 2.3 / 2.4).</t>
  </si>
  <si>
    <t xml:space="preserve">Example</t>
  </si>
  <si>
    <t xml:space="preserve">OrderPaid envelope (formatted)</t>
  </si>
  <si>
    <t xml:space="preserve">{
  "specversion": "1.0",
  "id": "7c1f…-uuid",
  "source": "/services/commerce",
  "type": "com.nexus.commerce.order.paid.v1",
  "subject": "&lt;orderId&gt;",
  "time": "2026-10-27T07:10:00Z",
  "datacontenttype": "application/json",
  "dataschema": "https://schemas.nexus.internal/commerce/order-paid/1.0",
  "traceparent": "00-…",
  "correlationid": "&lt;checkoutGroupId&gt;",
  "causationid": "&lt;id event của Wallet&gt;",
  "partitionkey": "&lt;orderId&gt;",
  "ordertype": "AUCTION",
  "data": {
    "orderId": "…",
    "orderType": "AUCTION",
    "auctionId": "…",
    "amount": "125000",
    "currency": "VND",
    "paidAt": "…"
  }
}</t>
  </si>
  <si>
    <t xml:space="preserve">Same shape as the catalog column</t>
  </si>
  <si>
    <t xml:space="preserve">Legacy name (= spec eventType)</t>
  </si>
  <si>
    <t xml:space="preserve">CloudEvents type</t>
  </si>
  <si>
    <t xml:space="preserve">source</t>
  </si>
  <si>
    <t xml:space="preserve">subject</t>
  </si>
  <si>
    <t xml:space="preserve">Aggregate (= spec aggregateType)</t>
  </si>
  <si>
    <t xml:space="preserve">ordertype extension</t>
  </si>
  <si>
    <t xml:space="preserve">data (JSON, formatted)</t>
  </si>
  <si>
    <t xml:space="preserve">Full example envelope (JSON)</t>
  </si>
  <si>
    <t xml:space="preserve">Published by</t>
  </si>
  <si>
    <t xml:space="preserve">Agreement</t>
  </si>
  <si>
    <t xml:space="preserve">Schema</t>
  </si>
  <si>
    <t xml:space="preserve">com.nexus.commerce.cart.created.v1</t>
  </si>
  <si>
    <t xml:space="preserve">cartId</t>
  </si>
  <si>
    <t xml:space="preserve">{
  "cartId": "&lt;cartId&gt;",
  "buyerId": "&lt;buyerId&gt;"
}</t>
  </si>
  <si>
    <t xml:space="preserve">{
  "specversion": "1.0",
  "id": "&lt;uuid = outbox_messages.id&gt;",
  "source": "/services/commerce",
  "type": "com.nexus.commerce.cart.created.v1",
  "subject": "&lt;cartId&gt;",
  "time": "2026-10-27T07:10:00Z",
  "datacontenttype": "application/json",
  "dataschema": "https://schemas.nexus.internal/commerce/cart-created/1.0",
  "traceparent": "00-&lt;trace-id&gt;-&lt;span-id&gt;-01",
  "correlationid": "&lt;correlationId&gt;",
  "causationid": "&lt;id of causing event&gt;",
  "partitionkey": "&lt;cartId&gt;",
  "legacytype": "CartCreated",
  "data": {
    "cartId": "&lt;cartId&gt;",
    "buyerId": "&lt;buyerId&gt;"
  }
}</t>
  </si>
  <si>
    <t xml:space="preserve">Draft</t>
  </si>
  <si>
    <t xml:space="preserve">com.nexus.commerce.cart.item-added.v1</t>
  </si>
  <si>
    <t xml:space="preserve">{
  "cartId": "&lt;cartId&gt;",
  "cartItemId": "&lt;cartItemId&gt;",
  "productId": "&lt;productId&gt;",
  "skuId": "&lt;skuId&gt;",
  "quantity": 1
}</t>
  </si>
  <si>
    <t xml:space="preserve">{
  "specversion": "1.0",
  "id": "&lt;uuid = outbox_messages.id&gt;",
  "source": "/services/commerce",
  "type": "com.nexus.commerce.cart.item-added.v1",
  "subject": "&lt;cartId&gt;",
  "time": "2026-10-27T07:10:00Z",
  "datacontenttype": "application/json",
  "dataschema": "https://schemas.nexus.internal/commerce/cart-item-added/1.0",
  "traceparent": "00-&lt;trace-id&gt;-&lt;span-id&gt;-01",
  "correlationid": "&lt;correlationId&gt;",
  "causationid": "&lt;id of causing event&gt;",
  "partitionkey": "&lt;cartId&gt;",
  "legacytype": "CartItemAdded",
  "data": {
    "cartId": "&lt;cartId&gt;",
    "cartItemId": "&lt;cartItemId&gt;",
    "productId": "&lt;productId&gt;",
    "skuId": "&lt;skuId&gt;",
    "quantity": 1
  }
}</t>
  </si>
  <si>
    <t xml:space="preserve">com.nexus.commerce.cart.item-updated.v1</t>
  </si>
  <si>
    <t xml:space="preserve">{
  "cartId": "&lt;cartId&gt;",
  "cartItemId": "&lt;cartItemId&gt;",
  "quantity": 1
}</t>
  </si>
  <si>
    <t xml:space="preserve">{
  "specversion": "1.0",
  "id": "&lt;uuid = outbox_messages.id&gt;",
  "source": "/services/commerce",
  "type": "com.nexus.commerce.cart.item-updated.v1",
  "subject": "&lt;cartId&gt;",
  "time": "2026-10-27T07:10:00Z",
  "datacontenttype": "application/json",
  "dataschema": "https://schemas.nexus.internal/commerce/cart-item-updated/1.0",
  "traceparent": "00-&lt;trace-id&gt;-&lt;span-id&gt;-01",
  "correlationid": "&lt;correlationId&gt;",
  "causationid": "&lt;id of causing event&gt;",
  "partitionkey": "&lt;cartId&gt;",
  "legacytype": "CartItemUpdated",
  "data": {
    "cartId": "&lt;cartId&gt;",
    "cartItemId": "&lt;cartItemId&gt;",
    "quantity": 1
  }
}</t>
  </si>
  <si>
    <t xml:space="preserve">com.nexus.commerce.cart.item-removed.v1</t>
  </si>
  <si>
    <t xml:space="preserve">{
  "cartId": "&lt;cartId&gt;",
  "cartItemId": "&lt;cartItemId&gt;"
}</t>
  </si>
  <si>
    <t xml:space="preserve">{
  "specversion": "1.0",
  "id": "&lt;uuid = outbox_messages.id&gt;",
  "source": "/services/commerce",
  "type": "com.nexus.commerce.cart.item-removed.v1",
  "subject": "&lt;cartId&gt;",
  "time": "2026-10-27T07:10:00Z",
  "datacontenttype": "application/json",
  "dataschema": "https://schemas.nexus.internal/commerce/cart-item-removed/1.0",
  "traceparent": "00-&lt;trace-id&gt;-&lt;span-id&gt;-01",
  "correlationid": "&lt;correlationId&gt;",
  "causationid": "&lt;id of causing event&gt;",
  "partitionkey": "&lt;cartId&gt;",
  "legacytype": "CartItemRemoved",
  "data": {
    "cartId": "&lt;cartId&gt;",
    "cartItemId": "&lt;cartItemId&gt;"
  }
}</t>
  </si>
  <si>
    <t xml:space="preserve">CART-04; CART-05; CART-11</t>
  </si>
  <si>
    <t xml:space="preserve">com.nexus.commerce.cart.expired.v1</t>
  </si>
  <si>
    <t xml:space="preserve">{
  "cartId": "&lt;cartId&gt;",
  "buyerId": "&lt;buyerId&gt;",
  "lastActivityAt": "2026-10-27T07:10:00Z"
}</t>
  </si>
  <si>
    <t xml:space="preserve">{
  "specversion": "1.0",
  "id": "&lt;uuid = outbox_messages.id&gt;",
  "source": "/services/commerce",
  "type": "com.nexus.commerce.cart.expired.v1",
  "subject": "&lt;cartId&gt;",
  "time": "2026-10-27T07:10:00Z",
  "datacontenttype": "application/json",
  "dataschema": "https://schemas.nexus.internal/commerce/cart-expired/1.0",
  "traceparent": "00-&lt;trace-id&gt;-&lt;span-id&gt;-01",
  "correlationid": "&lt;correlationId&gt;",
  "causationid": "&lt;id of causing event&gt;",
  "partitionkey": "&lt;cartId&gt;",
  "legacytype": "CartExpired",
  "data": {
    "cartId": "&lt;cartId&gt;",
    "buyerId": "&lt;buyerId&gt;",
    "lastActivityAt": "2026-10-27T07:10:00Z"
  }
}</t>
  </si>
  <si>
    <t xml:space="preserve">com.nexus.commerce.checkout.started.v1</t>
  </si>
  <si>
    <t xml:space="preserve">checkoutGroupId</t>
  </si>
  <si>
    <t xml:space="preserve">CheckoutGroup</t>
  </si>
  <si>
    <t xml:space="preserve">{
  "checkoutGroupId": "&lt;checkoutGroupId&gt;",
  "cartId": "&lt;cartId&gt;",
  "buyerId": "&lt;buyerId&gt;",
  "totalAmount": 255000.0
}</t>
  </si>
  <si>
    <t xml:space="preserve">{
  "specversion": "1.0",
  "id": "&lt;uuid = outbox_messages.id&gt;",
  "source": "/services/commerce",
  "type": "com.nexus.commerce.checkout.started.v1",
  "subject": "&lt;checkoutGroupId&gt;",
  "time": "2026-10-27T07:10:00Z",
  "datacontenttype": "application/json",
  "dataschema": "https://schemas.nexus.internal/commerce/checkout-started/1.0",
  "traceparent": "00-&lt;trace-id&gt;-&lt;span-id&gt;-01",
  "correlationid": "&lt;correlationId&gt;",
  "causationid": "&lt;id of causing event&gt;",
  "partitionkey": "&lt;checkoutGroupId&gt;",
  "legacytype": "CheckoutStarted",
  "data": {
    "checkoutGroupId": "&lt;checkoutGroupId&gt;",
    "cartId": "&lt;cartId&gt;",
    "buyerId": "&lt;buyerId&gt;",
    "totalAmount": 255000.0
  }
}</t>
  </si>
  <si>
    <t xml:space="preserve">com.nexus.commerce.order.created.v1</t>
  </si>
  <si>
    <t xml:space="preserve">orderId</t>
  </si>
  <si>
    <t xml:space="preserve">Order / AuctionOrder</t>
  </si>
  <si>
    <t xml:space="preserve">yes</t>
  </si>
  <si>
    <t xml:space="preserve">{
  "orderType": "REGULAR",
  "orderId": "&lt;orderId&gt;",
  "orderNo": "&lt;orderNo&gt;",
  "buyerId": "&lt;buyerId&gt;",
  "sellerId": "&lt;sellerId&gt;",
  "totalAmount": 255000.0,
  "paymentDeadlineAt": "2026-10-27T07:10:00Z",
  "checkoutGroupId": null,
  "auctionId": null,
  "winningBidId": null,
  "items": [
    {
      "skuId": "&lt;skuId&gt;",
      "quantity": 1
    }
  ],
  "winningAmount": 255000.0
}</t>
  </si>
  <si>
    <t xml:space="preserve">{
  "specversion": "1.0",
  "id": "&lt;uuid = outbox_messages.id&gt;",
  "source": "/services/commerce",
  "type": "com.nexus.commerce.order.created.v1",
  "subject": "&lt;orderId&gt;",
  "time": "2026-10-27T07:10:00Z",
  "datacontenttype": "application/json",
  "dataschema": "https://schemas.nexus.internal/commerce/order-created/1.0",
  "traceparent": "00-&lt;trace-id&gt;-&lt;span-id&gt;-01",
  "correlationid": "&lt;correlationId&gt;",
  "causationid": "&lt;id of causing event&gt;",
  "partitionkey": "&lt;orderId&gt;",
  "legacytype": "OrderCreated",
  "ordertype": "REGULAR",
  "data": {
    "orderType": "REGULAR",
    "orderId": "&lt;orderId&gt;",
    "orderNo": "&lt;orderNo&gt;",
    "buyerId": "&lt;buyerId&gt;",
    "sellerId": "&lt;sellerId&gt;",
    "totalAmount": 255000.0,
    "paymentDeadlineAt": "2026-10-27T07:10:00Z",
    "checkoutGroupId": null,
    "auctionId": null,
    "winningBidId": null,
    "items": [
      {
        "skuId": "&lt;skuId&gt;",
        "quantity": 1
      }
    ],
    "winningAmount": 255000.0
  }
}</t>
  </si>
  <si>
    <t xml:space="preserve">CHK-02; AO-01</t>
  </si>
  <si>
    <t xml:space="preserve">Notification, Event Log, Auction (AUCTION)</t>
  </si>
  <si>
    <t xml:space="preserve">com.nexus.commerce.order.paid.v1</t>
  </si>
  <si>
    <t xml:space="preserve">{
  "orderType": "REGULAR",
  "orderId": "&lt;orderId&gt;",
  "orderNo": "&lt;orderNo&gt;",
  "buyerId": "&lt;buyerId&gt;",
  "sellerId": "&lt;sellerId&gt;",
  "totalAmount": 255000.0,
  "paymentDeadlineAt": "2026-10-27T07:10:00Z",
  "checkoutGroupId": null,
  "auctionId": null,
  "winningBidId": null,
  "paidAt": "2026-10-27T07:10:00Z",
  "walletTransactionId": "&lt;walletTransactionId&gt;",
  "sellerRespondDeadlineAt": "2026-10-27T07:10:00Z"
}</t>
  </si>
  <si>
    <t xml:space="preserve">{
  "specversion": "1.0",
  "id": "&lt;uuid = outbox_messages.id&gt;",
  "source": "/services/commerce",
  "type": "com.nexus.commerce.order.paid.v1",
  "subject": "&lt;orderId&gt;",
  "time": "2026-10-27T07:10:00Z",
  "datacontenttype": "application/json",
  "dataschema": "https://schemas.nexus.internal/commerce/order-paid/1.0",
  "traceparent": "00-&lt;trace-id&gt;-&lt;span-id&gt;-01",
  "correlationid": "&lt;correlationId&gt;",
  "causationid": "&lt;id of causing event&gt;",
  "partitionkey": "&lt;orderId&gt;",
  "legacytype": "OrderPaid",
  "ordertype": "REGULAR",
  "data": {
    "orderType": "REGULAR",
    "orderId": "&lt;orderId&gt;",
    "orderNo": "&lt;orderNo&gt;",
    "buyerId": "&lt;buyerId&gt;",
    "sellerId": "&lt;sellerId&gt;",
    "totalAmount": 255000.0,
    "paymentDeadlineAt": "2026-10-27T07:10:00Z",
    "checkoutGroupId": null,
    "auctionId": null,
    "winningBidId": null,
    "paidAt": "2026-10-27T07:10:00Z",
    "walletTransactionId": "&lt;walletTransactionId&gt;",
    "sellerRespondDeadlineAt": "2026-10-27T07:10:00Z"
  }
}</t>
  </si>
  <si>
    <t xml:space="preserve">Fulfillment, Notification, Auction (AUCTION)</t>
  </si>
  <si>
    <t xml:space="preserve">com.nexus.commerce.order.payment-failed.v1</t>
  </si>
  <si>
    <t xml:space="preserve">{
  "orderType": "REGULAR",
  "orderId": "&lt;orderId&gt;",
  "orderNo": "&lt;orderNo&gt;",
  "buyerId": "&lt;buyerId&gt;",
  "sellerId": "&lt;sellerId&gt;",
  "totalAmount": 255000.0,
  "paymentDeadlineAt": "2026-10-27T07:10:00Z",
  "checkoutGroupId": null,
  "auctionId": null,
  "winningBidId": null,
  "attemptCount": 1,
  "failureCode": "&lt;failureCode&gt;"
}</t>
  </si>
  <si>
    <t xml:space="preserve">{
  "specversion": "1.0",
  "id": "&lt;uuid = outbox_messages.id&gt;",
  "source": "/services/commerce",
  "type": "com.nexus.commerce.order.payment-failed.v1",
  "subject": "&lt;orderId&gt;",
  "time": "2026-10-27T07:10:00Z",
  "datacontenttype": "application/json",
  "dataschema": "https://schemas.nexus.internal/commerce/order-payment-failed/1.0",
  "traceparent": "00-&lt;trace-id&gt;-&lt;span-id&gt;-01",
  "correlationid": "&lt;correlationId&gt;",
  "causationid": "&lt;id of causing event&gt;",
  "partitionkey": "&lt;orderId&gt;",
  "legacytype": "OrderPaymentFailed",
  "ordertype": "REGULAR",
  "data": {
    "orderType": "REGULAR",
    "orderId": "&lt;orderId&gt;",
    "orderNo": "&lt;orderNo&gt;",
    "buyerId": "&lt;buyerId&gt;",
    "sellerId": "&lt;sellerId&gt;",
    "totalAmount": 255000.0,
    "paymentDeadlineAt": "2026-10-27T07:10:00Z",
    "checkoutGroupId": null,
    "auctionId": null,
    "winningBidId": null,
    "attemptCount": 1,
    "failureCode": "&lt;failureCode&gt;"
  }
}</t>
  </si>
  <si>
    <t xml:space="preserve">com.nexus.commerce.order.confirmed.v1</t>
  </si>
  <si>
    <t xml:space="preserve">{
  "orderType": "REGULAR",
  "orderId": "&lt;orderId&gt;",
  "orderNo": "&lt;orderNo&gt;",
  "buyerId": "&lt;buyerId&gt;",
  "sellerId": "&lt;sellerId&gt;",
  "sellerAcceptedAt": "2026-10-27T07:10:00Z",
  "shippingAddress": "&lt;shippingAddress&gt;",
  "contactPhone": "&lt;contactPhone&gt;"
}</t>
  </si>
  <si>
    <t xml:space="preserve">{
  "specversion": "1.0",
  "id": "&lt;uuid = outbox_messages.id&gt;",
  "source": "/services/commerce",
  "type": "com.nexus.commerce.order.confirmed.v1",
  "subject": "&lt;orderId&gt;",
  "time": "2026-10-27T07:10:00Z",
  "datacontenttype": "application/json",
  "dataschema": "https://schemas.nexus.internal/commerce/order-confirmed/1.0",
  "traceparent": "00-&lt;trace-id&gt;-&lt;span-id&gt;-01",
  "correlationid": "&lt;correlationId&gt;",
  "causationid": "&lt;id of causing event&gt;",
  "partitionkey": "&lt;orderId&gt;",
  "legacytype": "OrderConfirmed",
  "ordertype": "REGULAR",
  "data": {
    "orderType": "REGULAR",
    "orderId": "&lt;orderId&gt;",
    "orderNo": "&lt;orderNo&gt;",
    "buyerId": "&lt;buyerId&gt;",
    "sellerId": "&lt;sellerId&gt;",
    "sellerAcceptedAt": "2026-10-27T07:10:00Z",
    "shippingAddress": "&lt;shippingAddress&gt;",
    "contactPhone": "&lt;contactPhone&gt;"
  }
}</t>
  </si>
  <si>
    <t xml:space="preserve">PROPOSED (OQ-20)</t>
  </si>
  <si>
    <t xml:space="preserve">com.nexus.commerce.order.cancelled.v1</t>
  </si>
  <si>
    <t xml:space="preserve">{
  "orderType": "REGULAR",
  "orderId": "&lt;orderId&gt;",
  "orderNo": "&lt;orderNo&gt;",
  "buyerId": "&lt;buyerId&gt;",
  "sellerId": "&lt;sellerId&gt;",
  "totalAmount": 255000.0,
  "paymentDeadlineAt": "2026-10-27T07:10:00Z",
  "checkoutGroupId": null,
  "auctionId": null,
  "winningBidId": null,
  "wasPaid": "&lt;wasPaid&gt;",
  "reasonCode": "&lt;reasonCode&gt;",
  "actorRole": "&lt;actorRole&gt;",
  "cancelledAt": "2026-10-27T07:10:00Z",
  "reasonNote": "&lt;reasonNote&gt;"
}</t>
  </si>
  <si>
    <t xml:space="preserve">{
  "specversion": "1.0",
  "id": "&lt;uuid = outbox_messages.id&gt;",
  "source": "/services/commerce",
  "type": "com.nexus.commerce.order.cancelled.v1",
  "subject": "&lt;orderId&gt;",
  "time": "2026-10-27T07:10:00Z",
  "datacontenttype": "application/json",
  "dataschema": "https://schemas.nexus.internal/commerce/order-cancelled/1.0",
  "traceparent": "00-&lt;trace-id&gt;-&lt;span-id&gt;-01",
  "correlationid": "&lt;correlationId&gt;",
  "causationid": "&lt;id of causing event&gt;",
  "partitionkey": "&lt;orderId&gt;",
  "legacytype": "OrderCancelled",
  "ordertype": "REGULAR",
  "data": {
    "orderType": "REGULAR",
    "orderId": "&lt;orderId&gt;",
    "orderNo": "&lt;orderNo&gt;",
    "buyerId": "&lt;buyerId&gt;",
    "sellerId": "&lt;sellerId&gt;",
    "totalAmount": 255000.0,
    "paymentDeadlineAt": "2026-10-27T07:10:00Z",
    "checkoutGroupId": null,
    "auctionId": null,
    "winningBidId": null,
    "wasPaid": "&lt;wasPaid&gt;",
    "reasonCode": "&lt;reasonCode&gt;",
    "actorRole": "&lt;actorRole&gt;",
    "cancelledAt": "2026-10-27T07:10:00Z",
    "reasonNote": "&lt;reasonNote&gt;"
  }
}</t>
  </si>
  <si>
    <t xml:space="preserve">CHK-05; CHK-06; ORD-05; ORD-06; ORD-09; ORD-22; AO-04</t>
  </si>
  <si>
    <t xml:space="preserve">com.nexus.commerce.order-refund.requested.v1</t>
  </si>
  <si>
    <t xml:space="preserve">refundId</t>
  </si>
  <si>
    <t xml:space="preserve">{
  "refundId": "&lt;refundId&gt;",
  "refundType": "&lt;refundType&gt;",
  "amount": 255000.0,
  "orderId": "&lt;orderId&gt;",
  "auctionOrderId": "&lt;auctionOrderId&gt;",
  "checkoutGroupId": null,
  "originalWalletTransactionId": "&lt;originalWalletTransactionId&gt;",
  "reasonCode": "&lt;reasonCode&gt;",
  "actorRole": "&lt;actorRole&gt;",
  "requestedBy": "&lt;requestedBy&gt;",
  "requestedAt": "2026-10-27T07:10:00Z"
}</t>
  </si>
  <si>
    <t xml:space="preserve">{
  "specversion": "1.0",
  "id": "&lt;uuid = outbox_messages.id&gt;",
  "source": "/services/commerce",
  "type": "com.nexus.commerce.order-refund.requested.v1",
  "subject": "&lt;refundId&gt;",
  "time": "2026-10-27T07:10:00Z",
  "datacontenttype": "application/json",
  "dataschema": "https://schemas.nexus.internal/commerce/order-refund-requested/1.0",
  "traceparent": "00-&lt;trace-id&gt;-&lt;span-id&gt;-01",
  "correlationid": "&lt;correlationId&gt;",
  "causationid": "&lt;id of causing event&gt;",
  "partitionkey": "&lt;refundId&gt;",
  "legacytype": "OrderRefundRequested",
  "data": {
    "refundId": "&lt;refundId&gt;",
    "refundType": "&lt;refundType&gt;",
    "amount": 255000.0,
    "orderId": "&lt;orderId&gt;",
    "auctionOrderId": "&lt;auctionOrderId&gt;",
    "checkoutGroupId": null,
    "originalWalletTransactionId": "&lt;originalWalletTransactionId&gt;",
    "reasonCode": "&lt;reasonCode&gt;",
    "actorRole": "&lt;actorRole&gt;",
    "requestedBy": "&lt;requestedBy&gt;",
    "requestedAt": "2026-10-27T07:10:00Z"
  }
}</t>
  </si>
  <si>
    <t xml:space="preserve">PAY-01; ORD-05; ORD-06; ORD-09; ORD-13</t>
  </si>
  <si>
    <t xml:space="preserve">Payment / Wallet</t>
  </si>
  <si>
    <t xml:space="preserve">com.nexus.commerce.order-refund.completed.v1</t>
  </si>
  <si>
    <t xml:space="preserve">{
  "refundId": "&lt;refundId&gt;",
  "orderId": "&lt;orderId&gt;",
  "refundTransactionId": "&lt;refundTransactionId&gt;",
  "amount": 255000.0,
  "completedAt": "2026-10-27T07:10:00Z"
}</t>
  </si>
  <si>
    <t xml:space="preserve">{
  "specversion": "1.0",
  "id": "&lt;uuid = outbox_messages.id&gt;",
  "source": "/services/commerce",
  "type": "com.nexus.commerce.order-refund.completed.v1",
  "subject": "&lt;refundId&gt;",
  "time": "2026-10-27T07:10:00Z",
  "datacontenttype": "application/json",
  "dataschema": "https://schemas.nexus.internal/commerce/order-refund-completed/1.0",
  "traceparent": "00-&lt;trace-id&gt;-&lt;span-id&gt;-01",
  "correlationid": "&lt;correlationId&gt;",
  "causationid": "&lt;id of causing event&gt;",
  "partitionkey": "&lt;refundId&gt;",
  "legacytype": "OrderRefundCompleted",
  "data": {
    "refundId": "&lt;refundId&gt;",
    "orderId": "&lt;orderId&gt;",
    "refundTransactionId": "&lt;refundTransactionId&gt;",
    "amount": 255000.0,
    "completedAt": "2026-10-27T07:10:00Z"
  }
}</t>
  </si>
  <si>
    <t xml:space="preserve">com.nexus.commerce.order.completed.v1</t>
  </si>
  <si>
    <t xml:space="preserve">{
  "orderType": "REGULAR",
  "orderId": "&lt;orderId&gt;",
  "orderNo": "&lt;orderNo&gt;",
  "buyerId": "&lt;buyerId&gt;",
  "sellerId": "&lt;sellerId&gt;",
  "completedAt": "2026-10-27T07:10:00Z"
}</t>
  </si>
  <si>
    <t xml:space="preserve">{
  "specversion": "1.0",
  "id": "&lt;uuid = outbox_messages.id&gt;",
  "source": "/services/commerce",
  "type": "com.nexus.commerce.order.completed.v1",
  "subject": "&lt;orderId&gt;",
  "time": "2026-10-27T07:10:00Z",
  "datacontenttype": "application/json",
  "dataschema": "https://schemas.nexus.internal/commerce/order-completed/1.0",
  "traceparent": "00-&lt;trace-id&gt;-&lt;span-id&gt;-01",
  "correlationid": "&lt;correlationId&gt;",
  "causationid": "&lt;id of causing event&gt;",
  "partitionkey": "&lt;orderId&gt;",
  "legacytype": "OrderCompleted",
  "ordertype": "REGULAR",
  "data": {
    "orderType": "REGULAR",
    "orderId": "&lt;orderId&gt;",
    "orderNo": "&lt;orderNo&gt;",
    "buyerId": "&lt;buyerId&gt;",
    "sellerId": "&lt;sellerId&gt;",
    "completedAt": "2026-10-27T07:10:00Z"
  }
}</t>
  </si>
  <si>
    <t xml:space="preserve">ORD-07 (flag); ORD-08; ORD-12</t>
  </si>
  <si>
    <t xml:space="preserve">Notification, User</t>
  </si>
  <si>
    <t xml:space="preserve">com.nexus.commerce.checkout.completed.v1</t>
  </si>
  <si>
    <t xml:space="preserve">{
  "checkoutGroupId": "&lt;checkoutGroupId&gt;",
  "buyerId": "&lt;buyerId&gt;",
  "orderIds": [
    "&lt;uuid&gt;"
  ],
  "totalAmount": 255000.0,
  "paidAt": "2026-10-27T07:10:00Z"
}</t>
  </si>
  <si>
    <t xml:space="preserve">{
  "specversion": "1.0",
  "id": "&lt;uuid = outbox_messages.id&gt;",
  "source": "/services/commerce",
  "type": "com.nexus.commerce.checkout.completed.v1",
  "subject": "&lt;checkoutGroupId&gt;",
  "time": "2026-10-27T07:10:00Z",
  "datacontenttype": "application/json",
  "dataschema": "https://schemas.nexus.internal/commerce/checkout-completed/1.0",
  "traceparent": "00-&lt;trace-id&gt;-&lt;span-id&gt;-01",
  "correlationid": "&lt;correlationId&gt;",
  "causationid": "&lt;id of causing event&gt;",
  "partitionkey": "&lt;checkoutGroupId&gt;",
  "legacytype": "CheckoutCompleted",
  "data": {
    "checkoutGroupId": "&lt;checkoutGroupId&gt;",
    "buyerId": "&lt;buyerId&gt;",
    "orderIds": [
      "&lt;uuid&gt;"
    ],
    "totalAmount": 255000.0,
    "paidAt": "2026-10-27T07:10:00Z"
  }
}</t>
  </si>
  <si>
    <t xml:space="preserve">Not in SRS (G34)</t>
  </si>
  <si>
    <t xml:space="preserve">com.nexus.commerce.checkout.expired.v1</t>
  </si>
  <si>
    <t xml:space="preserve">{
  "checkoutGroupId": "&lt;checkoutGroupId&gt;",
  "buyerId": "&lt;buyerId&gt;",
  "orderIds": [
    "&lt;uuid&gt;"
  ],
  "expiredAt": "2026-10-27T07:10:00Z"
}</t>
  </si>
  <si>
    <t xml:space="preserve">{
  "specversion": "1.0",
  "id": "&lt;uuid = outbox_messages.id&gt;",
  "source": "/services/commerce",
  "type": "com.nexus.commerce.checkout.expired.v1",
  "subject": "&lt;checkoutGroupId&gt;",
  "time": "2026-10-27T07:10:00Z",
  "datacontenttype": "application/json",
  "dataschema": "https://schemas.nexus.internal/commerce/checkout-expired/1.0",
  "traceparent": "00-&lt;trace-id&gt;-&lt;span-id&gt;-01",
  "correlationid": "&lt;correlationId&gt;",
  "causationid": "&lt;id of causing event&gt;",
  "partitionkey": "&lt;checkoutGroupId&gt;",
  "legacytype": "CheckoutExpired",
  "data": {
    "checkoutGroupId": "&lt;checkoutGroupId&gt;",
    "buyerId": "&lt;buyerId&gt;",
    "orderIds": [
      "&lt;uuid&gt;"
    ],
    "expiredAt": "2026-10-27T07:10:00Z"
  }
}</t>
  </si>
  <si>
    <t xml:space="preserve">com.nexus.commerce.checkout.cancelled.v1</t>
  </si>
  <si>
    <t xml:space="preserve">{
  "checkoutGroupId": "&lt;checkoutGroupId&gt;",
  "buyerId": "&lt;buyerId&gt;",
  "orderIds": [
    "&lt;uuid&gt;"
  ],
  "cancelledAt": "2026-10-27T07:10:00Z"
}</t>
  </si>
  <si>
    <t xml:space="preserve">{
  "specversion": "1.0",
  "id": "&lt;uuid = outbox_messages.id&gt;",
  "source": "/services/commerce",
  "type": "com.nexus.commerce.checkout.cancelled.v1",
  "subject": "&lt;checkoutGroupId&gt;",
  "time": "2026-10-27T07:10:00Z",
  "datacontenttype": "application/json",
  "dataschema": "https://schemas.nexus.internal/commerce/checkout-cancelled/1.0",
  "traceparent": "00-&lt;trace-id&gt;-&lt;span-id&gt;-01",
  "correlationid": "&lt;correlationId&gt;",
  "causationid": "&lt;id of causing event&gt;",
  "partitionkey": "&lt;checkoutGroupId&gt;",
  "legacytype": "CheckoutCancelled",
  "data": {
    "checkoutGroupId": "&lt;checkoutGroupId&gt;",
    "buyerId": "&lt;buyerId&gt;",
    "orderIds": [
      "&lt;uuid&gt;"
    ],
    "cancelledAt": "2026-10-27T07:10:00Z"
  }
}</t>
  </si>
  <si>
    <t xml:space="preserve">com.nexus.commerce.order.shipped.v1</t>
  </si>
  <si>
    <t xml:space="preserve">{
  "orderType": "REGULAR",
  "orderId": "&lt;orderId&gt;",
  "orderNo": "&lt;orderNo&gt;",
  "buyerId": "&lt;buyerId&gt;",
  "sellerId": "&lt;sellerId&gt;",
  "shippedAt": "2026-10-27T07:10:00Z"
}</t>
  </si>
  <si>
    <t xml:space="preserve">{
  "specversion": "1.0",
  "id": "&lt;uuid = outbox_messages.id&gt;",
  "source": "/services/commerce",
  "type": "com.nexus.commerce.order.shipped.v1",
  "subject": "&lt;orderId&gt;",
  "time": "2026-10-27T07:10:00Z",
  "datacontenttype": "application/json",
  "dataschema": "https://schemas.nexus.internal/commerce/order-shipped/1.0",
  "traceparent": "00-&lt;trace-id&gt;-&lt;span-id&gt;-01",
  "correlationid": "&lt;correlationId&gt;",
  "causationid": "&lt;id of causing event&gt;",
  "partitionkey": "&lt;orderId&gt;",
  "legacytype": "OrderShipped",
  "ordertype": "REGULAR",
  "data": {
    "orderType": "REGULAR",
    "orderId": "&lt;orderId&gt;",
    "orderNo": "&lt;orderNo&gt;",
    "buyerId": "&lt;buyerId&gt;",
    "sellerId": "&lt;sellerId&gt;",
    "shippedAt": "2026-10-27T07:10:00Z"
  }
}</t>
  </si>
  <si>
    <t xml:space="preserve">com.nexus.commerce.order.delivered.v1</t>
  </si>
  <si>
    <t xml:space="preserve">{
  "orderType": "REGULAR",
  "orderId": "&lt;orderId&gt;",
  "orderNo": "&lt;orderNo&gt;",
  "buyerId": "&lt;buyerId&gt;",
  "sellerId": "&lt;sellerId&gt;",
  "deliveredAt": "2026-10-27T07:10:00Z"
}</t>
  </si>
  <si>
    <t xml:space="preserve">{
  "specversion": "1.0",
  "id": "&lt;uuid = outbox_messages.id&gt;",
  "source": "/services/commerce",
  "type": "com.nexus.commerce.order.delivered.v1",
  "subject": "&lt;orderId&gt;",
  "time": "2026-10-27T07:10:00Z",
  "datacontenttype": "application/json",
  "dataschema": "https://schemas.nexus.internal/commerce/order-delivered/1.0",
  "traceparent": "00-&lt;trace-id&gt;-&lt;span-id&gt;-01",
  "correlationid": "&lt;correlationId&gt;",
  "causationid": "&lt;id of causing event&gt;",
  "partitionkey": "&lt;orderId&gt;",
  "legacytype": "OrderDelivered",
  "ordertype": "REGULAR",
  "data": {
    "orderType": "REGULAR",
    "orderId": "&lt;orderId&gt;",
    "orderNo": "&lt;orderNo&gt;",
    "buyerId": "&lt;buyerId&gt;",
    "sellerId": "&lt;sellerId&gt;",
    "deliveredAt": "2026-10-27T07:10:00Z"
  }
}</t>
  </si>
  <si>
    <t xml:space="preserve">ORD-10; ORD-12</t>
  </si>
  <si>
    <t xml:space="preserve">com.nexus.commerce.invoice.generated.v1</t>
  </si>
  <si>
    <t xml:space="preserve">invoiceId</t>
  </si>
  <si>
    <t xml:space="preserve">{
  "invoiceId": "&lt;invoiceId&gt;",
  "invoiceNo": "&lt;invoiceNo&gt;",
  "orderId": "&lt;orderId&gt;",
  "orderType": "REGULAR",
  "buyerId": "&lt;buyerId&gt;",
  "totalAmount": 255000.0,
  "generatedAt": "2026-10-27T07:10:00Z"
}</t>
  </si>
  <si>
    <t xml:space="preserve">{
  "specversion": "1.0",
  "id": "&lt;uuid = outbox_messages.id&gt;",
  "source": "/services/commerce",
  "type": "com.nexus.commerce.invoice.generated.v1",
  "subject": "&lt;invoiceId&gt;",
  "time": "2026-10-27T07:10:00Z",
  "datacontenttype": "application/json",
  "dataschema": "https://schemas.nexus.internal/commerce/invoice-generated/1.0",
  "traceparent": "00-&lt;trace-id&gt;-&lt;span-id&gt;-01",
  "correlationid": "&lt;correlationId&gt;",
  "causationid": "&lt;id of causing event&gt;",
  "partitionkey": "&lt;invoiceId&gt;",
  "legacytype": "InvoiceGenerated",
  "ordertype": "REGULAR",
  "data": {
    "invoiceId": "&lt;invoiceId&gt;",
    "invoiceNo": "&lt;invoiceNo&gt;",
    "orderId": "&lt;orderId&gt;",
    "orderType": "REGULAR",
    "buyerId": "&lt;buyerId&gt;",
    "totalAmount": 255000.0,
    "generatedAt": "2026-10-27T07:10:00Z"
  }
}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</si>
</sst>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CE4D6"/>
        <bgColor rgb="FFE2EFDA"/>
      </patternFill>
    </fill>
    <fill>
      <patternFill patternType="solid">
        <fgColor rgb="FFFFE699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34"/>
    <col collapsed="false" customWidth="true" hidden="false" outlineLevel="0" max="15" min="15" style="0" width="28"/>
    <col collapsed="false" customWidth="true" hidden="false" outlineLevel="0" max="16" min="16" style="0" width="36"/>
    <col collapsed="false" customWidth="true" hidden="false" outlineLevel="0" max="18" min="17" style="0" width="26"/>
    <col collapsed="false" customWidth="true" hidden="false" outlineLevel="0" max="19" min="19" style="0" width="32"/>
    <col collapsed="false" customWidth="true" hidden="false" outlineLevel="0" max="20" min="20" style="0" width="48"/>
    <col collapsed="false" customWidth="true" hidden="false" outlineLevel="0" max="21" min="21" style="0" width="34"/>
    <col collapsed="false" customWidth="true" hidden="false" outlineLevel="0" max="22" min="22" style="0" width="16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10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</row>
    <row r="2" customFormat="false" ht="43.25" hidden="false" customHeight="false" outlineLevel="0" collapsed="false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6" t="s">
        <v>49</v>
      </c>
      <c r="G2" s="5" t="n">
        <v>1</v>
      </c>
      <c r="H2" s="5" t="s">
        <v>50</v>
      </c>
      <c r="I2" s="7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/>
      <c r="O2" s="5" t="s">
        <v>56</v>
      </c>
      <c r="P2" s="5" t="s">
        <v>57</v>
      </c>
      <c r="Q2" s="5"/>
      <c r="R2" s="5"/>
      <c r="S2" s="5" t="s">
        <v>58</v>
      </c>
      <c r="T2" s="5" t="s">
        <v>59</v>
      </c>
      <c r="U2" s="5"/>
      <c r="V2" s="5" t="s">
        <v>60</v>
      </c>
      <c r="W2" s="5" t="s">
        <v>61</v>
      </c>
      <c r="X2" s="5" t="n">
        <f aca="false">COUNTIF(Test_Cases!$B$2:$B$1000,A2)</f>
        <v>4</v>
      </c>
      <c r="Y2" s="5" t="str">
        <f aca="false">IF(X2=0,"NO TEST",IF(X2&lt;3,"THIN","OK"))</f>
        <v>OK</v>
      </c>
    </row>
    <row r="3" customFormat="false" ht="95.5" hidden="false" customHeight="false" outlineLevel="0" collapsed="false">
      <c r="A3" s="5" t="s">
        <v>62</v>
      </c>
      <c r="B3" s="5" t="s">
        <v>45</v>
      </c>
      <c r="C3" s="5" t="s">
        <v>63</v>
      </c>
      <c r="D3" s="5" t="s">
        <v>47</v>
      </c>
      <c r="E3" s="5" t="s">
        <v>64</v>
      </c>
      <c r="F3" s="6" t="s">
        <v>49</v>
      </c>
      <c r="G3" s="5" t="n">
        <v>1</v>
      </c>
      <c r="H3" s="5" t="s">
        <v>65</v>
      </c>
      <c r="I3" s="7" t="s">
        <v>51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71</v>
      </c>
      <c r="P3" s="5" t="s">
        <v>72</v>
      </c>
      <c r="Q3" s="5" t="s">
        <v>73</v>
      </c>
      <c r="R3" s="5"/>
      <c r="S3" s="5" t="s">
        <v>74</v>
      </c>
      <c r="T3" s="5" t="s">
        <v>75</v>
      </c>
      <c r="U3" s="5" t="s">
        <v>76</v>
      </c>
      <c r="V3" s="5" t="s">
        <v>77</v>
      </c>
      <c r="W3" s="5" t="s">
        <v>61</v>
      </c>
      <c r="X3" s="5" t="n">
        <f aca="false">COUNTIF(Test_Cases!$B$2:$B$1000,A3)</f>
        <v>15</v>
      </c>
      <c r="Y3" s="5" t="str">
        <f aca="false">IF(X3=0,"NO TEST",IF(X3&lt;3,"THIN","OK"))</f>
        <v>OK</v>
      </c>
    </row>
    <row r="4" customFormat="false" ht="64.15" hidden="false" customHeight="false" outlineLevel="0" collapsed="false">
      <c r="A4" s="5" t="s">
        <v>78</v>
      </c>
      <c r="B4" s="5" t="s">
        <v>45</v>
      </c>
      <c r="C4" s="5" t="s">
        <v>79</v>
      </c>
      <c r="D4" s="5" t="s">
        <v>47</v>
      </c>
      <c r="E4" s="5" t="s">
        <v>80</v>
      </c>
      <c r="F4" s="6" t="s">
        <v>49</v>
      </c>
      <c r="G4" s="5" t="n">
        <v>1</v>
      </c>
      <c r="H4" s="5" t="s">
        <v>50</v>
      </c>
      <c r="I4" s="7" t="s">
        <v>51</v>
      </c>
      <c r="J4" s="5" t="s">
        <v>81</v>
      </c>
      <c r="K4" s="5" t="s">
        <v>82</v>
      </c>
      <c r="L4" s="5" t="s">
        <v>83</v>
      </c>
      <c r="M4" s="5" t="s">
        <v>69</v>
      </c>
      <c r="N4" s="5" t="s">
        <v>84</v>
      </c>
      <c r="O4" s="5" t="s">
        <v>85</v>
      </c>
      <c r="P4" s="5" t="s">
        <v>86</v>
      </c>
      <c r="Q4" s="5" t="s">
        <v>87</v>
      </c>
      <c r="R4" s="5"/>
      <c r="S4" s="5" t="s">
        <v>88</v>
      </c>
      <c r="T4" s="5" t="s">
        <v>89</v>
      </c>
      <c r="U4" s="5" t="s">
        <v>90</v>
      </c>
      <c r="V4" s="5" t="s">
        <v>62</v>
      </c>
      <c r="W4" s="5" t="s">
        <v>61</v>
      </c>
      <c r="X4" s="5" t="n">
        <f aca="false">COUNTIF(Test_Cases!$B$2:$B$1000,A4)</f>
        <v>11</v>
      </c>
      <c r="Y4" s="5" t="str">
        <f aca="false">IF(X4=0,"NO TEST",IF(X4&lt;3,"THIN","OK"))</f>
        <v>OK</v>
      </c>
    </row>
    <row r="5" customFormat="false" ht="32.8" hidden="false" customHeight="false" outlineLevel="0" collapsed="false">
      <c r="A5" s="5" t="s">
        <v>91</v>
      </c>
      <c r="B5" s="5" t="s">
        <v>45</v>
      </c>
      <c r="C5" s="5" t="s">
        <v>92</v>
      </c>
      <c r="D5" s="5" t="s">
        <v>47</v>
      </c>
      <c r="E5" s="5" t="s">
        <v>93</v>
      </c>
      <c r="F5" s="6" t="s">
        <v>49</v>
      </c>
      <c r="G5" s="5" t="n">
        <v>1</v>
      </c>
      <c r="H5" s="5" t="s">
        <v>94</v>
      </c>
      <c r="I5" s="7" t="s">
        <v>51</v>
      </c>
      <c r="J5" s="5" t="s">
        <v>95</v>
      </c>
      <c r="K5" s="5" t="s">
        <v>96</v>
      </c>
      <c r="L5" s="5" t="s">
        <v>97</v>
      </c>
      <c r="M5" s="5" t="s">
        <v>98</v>
      </c>
      <c r="N5" s="5" t="s">
        <v>84</v>
      </c>
      <c r="O5" s="5" t="s">
        <v>85</v>
      </c>
      <c r="P5" s="5" t="s">
        <v>99</v>
      </c>
      <c r="Q5" s="5" t="s">
        <v>100</v>
      </c>
      <c r="R5" s="5"/>
      <c r="S5" s="5" t="s">
        <v>101</v>
      </c>
      <c r="T5" s="5" t="s">
        <v>102</v>
      </c>
      <c r="U5" s="5" t="s">
        <v>103</v>
      </c>
      <c r="V5" s="5" t="s">
        <v>62</v>
      </c>
      <c r="W5" s="5"/>
      <c r="X5" s="5" t="n">
        <f aca="false">COUNTIF(Test_Cases!$B$2:$B$1000,A5)</f>
        <v>4</v>
      </c>
      <c r="Y5" s="5" t="str">
        <f aca="false">IF(X5=0,"NO TEST",IF(X5&lt;3,"THIN","OK"))</f>
        <v>OK</v>
      </c>
    </row>
    <row r="6" customFormat="false" ht="22.35" hidden="false" customHeight="false" outlineLevel="0" collapsed="false">
      <c r="A6" s="5" t="s">
        <v>104</v>
      </c>
      <c r="B6" s="5" t="s">
        <v>45</v>
      </c>
      <c r="C6" s="5" t="s">
        <v>105</v>
      </c>
      <c r="D6" s="5" t="s">
        <v>47</v>
      </c>
      <c r="E6" s="5" t="s">
        <v>106</v>
      </c>
      <c r="F6" s="8" t="s">
        <v>107</v>
      </c>
      <c r="G6" s="5" t="n">
        <v>1</v>
      </c>
      <c r="H6" s="5" t="s">
        <v>94</v>
      </c>
      <c r="I6" s="5" t="s">
        <v>108</v>
      </c>
      <c r="J6" s="5"/>
      <c r="K6" s="5" t="s">
        <v>96</v>
      </c>
      <c r="L6" s="5" t="s">
        <v>97</v>
      </c>
      <c r="M6" s="5" t="s">
        <v>98</v>
      </c>
      <c r="N6" s="5" t="s">
        <v>84</v>
      </c>
      <c r="O6" s="5" t="s">
        <v>85</v>
      </c>
      <c r="P6" s="5" t="s">
        <v>99</v>
      </c>
      <c r="Q6" s="5" t="s">
        <v>109</v>
      </c>
      <c r="R6" s="5"/>
      <c r="S6" s="5" t="s">
        <v>110</v>
      </c>
      <c r="T6" s="5" t="s">
        <v>111</v>
      </c>
      <c r="U6" s="5" t="s">
        <v>112</v>
      </c>
      <c r="V6" s="5" t="s">
        <v>91</v>
      </c>
      <c r="W6" s="5"/>
      <c r="X6" s="5" t="n">
        <f aca="false">COUNTIF(Test_Cases!$B$2:$B$1000,A6)</f>
        <v>5</v>
      </c>
      <c r="Y6" s="5" t="str">
        <f aca="false">IF(X6=0,"NO TEST",IF(X6&lt;3,"THIN","OK"))</f>
        <v>OK</v>
      </c>
    </row>
    <row r="7" customFormat="false" ht="64.15" hidden="false" customHeight="false" outlineLevel="0" collapsed="false">
      <c r="A7" s="5" t="s">
        <v>113</v>
      </c>
      <c r="B7" s="5" t="s">
        <v>45</v>
      </c>
      <c r="C7" s="5" t="s">
        <v>114</v>
      </c>
      <c r="D7" s="5" t="s">
        <v>47</v>
      </c>
      <c r="E7" s="5" t="s">
        <v>115</v>
      </c>
      <c r="F7" s="6" t="s">
        <v>49</v>
      </c>
      <c r="G7" s="5" t="n">
        <v>1</v>
      </c>
      <c r="H7" s="5" t="s">
        <v>50</v>
      </c>
      <c r="I7" s="7" t="s">
        <v>51</v>
      </c>
      <c r="J7" s="5" t="s">
        <v>116</v>
      </c>
      <c r="K7" s="5" t="s">
        <v>117</v>
      </c>
      <c r="L7" s="5" t="s">
        <v>118</v>
      </c>
      <c r="M7" s="5" t="s">
        <v>55</v>
      </c>
      <c r="N7" s="5"/>
      <c r="O7" s="5" t="s">
        <v>56</v>
      </c>
      <c r="P7" s="5" t="s">
        <v>119</v>
      </c>
      <c r="Q7" s="5"/>
      <c r="R7" s="5"/>
      <c r="S7" s="5" t="s">
        <v>120</v>
      </c>
      <c r="T7" s="5" t="s">
        <v>121</v>
      </c>
      <c r="U7" s="5" t="s">
        <v>122</v>
      </c>
      <c r="V7" s="5" t="s">
        <v>62</v>
      </c>
      <c r="W7" s="5" t="s">
        <v>61</v>
      </c>
      <c r="X7" s="5" t="n">
        <f aca="false">COUNTIF(Test_Cases!$B$2:$B$1000,A7)</f>
        <v>6</v>
      </c>
      <c r="Y7" s="5" t="str">
        <f aca="false">IF(X7=0,"NO TEST",IF(X7&lt;3,"THIN","OK"))</f>
        <v>OK</v>
      </c>
    </row>
    <row r="8" customFormat="false" ht="32.8" hidden="false" customHeight="false" outlineLevel="0" collapsed="false">
      <c r="A8" s="5" t="s">
        <v>123</v>
      </c>
      <c r="B8" s="5" t="s">
        <v>45</v>
      </c>
      <c r="C8" s="5" t="s">
        <v>124</v>
      </c>
      <c r="D8" s="5" t="s">
        <v>125</v>
      </c>
      <c r="E8" s="5" t="s">
        <v>126</v>
      </c>
      <c r="F8" s="6" t="s">
        <v>49</v>
      </c>
      <c r="G8" s="5" t="n">
        <v>1</v>
      </c>
      <c r="H8" s="5" t="s">
        <v>65</v>
      </c>
      <c r="I8" s="5" t="s">
        <v>108</v>
      </c>
      <c r="J8" s="5" t="s">
        <v>127</v>
      </c>
      <c r="K8" s="5" t="s">
        <v>128</v>
      </c>
      <c r="L8" s="5" t="s">
        <v>129</v>
      </c>
      <c r="M8" s="5" t="s">
        <v>130</v>
      </c>
      <c r="N8" s="5"/>
      <c r="O8" s="5" t="s">
        <v>131</v>
      </c>
      <c r="P8" s="5" t="s">
        <v>132</v>
      </c>
      <c r="Q8" s="5"/>
      <c r="R8" s="5"/>
      <c r="S8" s="5" t="s">
        <v>133</v>
      </c>
      <c r="T8" s="5" t="s">
        <v>134</v>
      </c>
      <c r="U8" s="5" t="s">
        <v>135</v>
      </c>
      <c r="V8" s="5" t="s">
        <v>136</v>
      </c>
      <c r="W8" s="5" t="s">
        <v>137</v>
      </c>
      <c r="X8" s="5" t="n">
        <f aca="false">COUNTIF(Test_Cases!$B$2:$B$1000,A8)</f>
        <v>4</v>
      </c>
      <c r="Y8" s="5" t="str">
        <f aca="false">IF(X8=0,"NO TEST",IF(X8&lt;3,"THIN","OK"))</f>
        <v>OK</v>
      </c>
    </row>
    <row r="9" customFormat="false" ht="22.35" hidden="false" customHeight="false" outlineLevel="0" collapsed="false">
      <c r="A9" s="5" t="s">
        <v>138</v>
      </c>
      <c r="B9" s="5" t="s">
        <v>45</v>
      </c>
      <c r="C9" s="5" t="s">
        <v>139</v>
      </c>
      <c r="D9" s="5" t="s">
        <v>47</v>
      </c>
      <c r="E9" s="5" t="s">
        <v>140</v>
      </c>
      <c r="F9" s="8" t="s">
        <v>107</v>
      </c>
      <c r="G9" s="5" t="n">
        <v>1</v>
      </c>
      <c r="H9" s="5" t="s">
        <v>94</v>
      </c>
      <c r="I9" s="5" t="s">
        <v>108</v>
      </c>
      <c r="J9" s="5"/>
      <c r="K9" s="5" t="s">
        <v>128</v>
      </c>
      <c r="L9" s="5" t="s">
        <v>141</v>
      </c>
      <c r="M9" s="5" t="s">
        <v>55</v>
      </c>
      <c r="N9" s="5"/>
      <c r="O9" s="5" t="s">
        <v>142</v>
      </c>
      <c r="P9" s="5" t="s">
        <v>99</v>
      </c>
      <c r="Q9" s="5"/>
      <c r="R9" s="5"/>
      <c r="S9" s="5" t="s">
        <v>143</v>
      </c>
      <c r="T9" s="5" t="s">
        <v>144</v>
      </c>
      <c r="U9" s="5"/>
      <c r="V9" s="5"/>
      <c r="W9" s="5"/>
      <c r="X9" s="5" t="n">
        <f aca="false">COUNTIF(Test_Cases!$B$2:$B$1000,A9)</f>
        <v>3</v>
      </c>
      <c r="Y9" s="5" t="str">
        <f aca="false">IF(X9=0,"NO TEST",IF(X9&lt;3,"THIN","OK"))</f>
        <v>OK</v>
      </c>
    </row>
    <row r="10" customFormat="false" ht="32.8" hidden="false" customHeight="false" outlineLevel="0" collapsed="false">
      <c r="A10" s="5" t="s">
        <v>145</v>
      </c>
      <c r="B10" s="5" t="s">
        <v>45</v>
      </c>
      <c r="C10" s="5" t="s">
        <v>146</v>
      </c>
      <c r="D10" s="5" t="s">
        <v>147</v>
      </c>
      <c r="E10" s="5" t="s">
        <v>148</v>
      </c>
      <c r="F10" s="8" t="s">
        <v>107</v>
      </c>
      <c r="G10" s="5" t="n">
        <v>1</v>
      </c>
      <c r="H10" s="5" t="s">
        <v>94</v>
      </c>
      <c r="I10" s="5" t="s">
        <v>108</v>
      </c>
      <c r="J10" s="5" t="s">
        <v>149</v>
      </c>
      <c r="K10" s="5" t="s">
        <v>150</v>
      </c>
      <c r="L10" s="5" t="s">
        <v>151</v>
      </c>
      <c r="M10" s="5" t="s">
        <v>152</v>
      </c>
      <c r="N10" s="5" t="s">
        <v>153</v>
      </c>
      <c r="O10" s="5" t="s">
        <v>71</v>
      </c>
      <c r="P10" s="5" t="s">
        <v>99</v>
      </c>
      <c r="Q10" s="5" t="s">
        <v>154</v>
      </c>
      <c r="R10" s="5"/>
      <c r="S10" s="5" t="s">
        <v>155</v>
      </c>
      <c r="T10" s="5" t="s">
        <v>156</v>
      </c>
      <c r="U10" s="5"/>
      <c r="V10" s="5" t="s">
        <v>157</v>
      </c>
      <c r="W10" s="5" t="s">
        <v>158</v>
      </c>
      <c r="X10" s="5" t="n">
        <f aca="false">COUNTIF(Test_Cases!$B$2:$B$1000,A10)</f>
        <v>3</v>
      </c>
      <c r="Y10" s="5" t="str">
        <f aca="false">IF(X10=0,"NO TEST",IF(X10&lt;3,"THIN","OK"))</f>
        <v>OK</v>
      </c>
    </row>
    <row r="11" customFormat="false" ht="32.8" hidden="false" customHeight="false" outlineLevel="0" collapsed="false">
      <c r="A11" s="5" t="s">
        <v>159</v>
      </c>
      <c r="B11" s="5" t="s">
        <v>45</v>
      </c>
      <c r="C11" s="5" t="s">
        <v>160</v>
      </c>
      <c r="D11" s="5" t="s">
        <v>47</v>
      </c>
      <c r="E11" s="5" t="s">
        <v>161</v>
      </c>
      <c r="F11" s="9" t="s">
        <v>162</v>
      </c>
      <c r="G11" s="5" t="n">
        <v>4</v>
      </c>
      <c r="H11" s="5" t="s">
        <v>94</v>
      </c>
      <c r="I11" s="7" t="s">
        <v>51</v>
      </c>
      <c r="J11" s="5" t="s">
        <v>163</v>
      </c>
      <c r="K11" s="5" t="s">
        <v>150</v>
      </c>
      <c r="L11" s="5" t="s">
        <v>164</v>
      </c>
      <c r="M11" s="5" t="s">
        <v>69</v>
      </c>
      <c r="N11" s="5" t="s">
        <v>70</v>
      </c>
      <c r="O11" s="5" t="s">
        <v>131</v>
      </c>
      <c r="P11" s="5" t="s">
        <v>165</v>
      </c>
      <c r="Q11" s="5" t="s">
        <v>166</v>
      </c>
      <c r="R11" s="5"/>
      <c r="S11" s="5" t="s">
        <v>167</v>
      </c>
      <c r="T11" s="5" t="s">
        <v>168</v>
      </c>
      <c r="U11" s="5" t="s">
        <v>112</v>
      </c>
      <c r="V11" s="5" t="s">
        <v>62</v>
      </c>
      <c r="W11" s="5" t="s">
        <v>169</v>
      </c>
      <c r="X11" s="5" t="n">
        <f aca="false">COUNTIF(Test_Cases!$B$2:$B$1000,A11)</f>
        <v>6</v>
      </c>
      <c r="Y11" s="5" t="str">
        <f aca="false">IF(X11=0,"NO TEST",IF(X11&lt;3,"THIN","OK"))</f>
        <v>OK</v>
      </c>
    </row>
    <row r="12" customFormat="false" ht="32.8" hidden="false" customHeight="false" outlineLevel="0" collapsed="false">
      <c r="A12" s="5" t="s">
        <v>170</v>
      </c>
      <c r="B12" s="5" t="s">
        <v>45</v>
      </c>
      <c r="C12" s="5" t="s">
        <v>171</v>
      </c>
      <c r="D12" s="5" t="s">
        <v>172</v>
      </c>
      <c r="E12" s="5" t="s">
        <v>173</v>
      </c>
      <c r="F12" s="8" t="s">
        <v>107</v>
      </c>
      <c r="G12" s="5" t="n">
        <v>1</v>
      </c>
      <c r="H12" s="5" t="s">
        <v>50</v>
      </c>
      <c r="I12" s="5" t="s">
        <v>108</v>
      </c>
      <c r="J12" s="5"/>
      <c r="K12" s="5" t="s">
        <v>174</v>
      </c>
      <c r="L12" s="5" t="s">
        <v>175</v>
      </c>
      <c r="M12" s="5" t="s">
        <v>152</v>
      </c>
      <c r="N12" s="5" t="s">
        <v>176</v>
      </c>
      <c r="O12" s="5"/>
      <c r="P12" s="5" t="s">
        <v>177</v>
      </c>
      <c r="Q12" s="5"/>
      <c r="R12" s="5" t="s">
        <v>178</v>
      </c>
      <c r="S12" s="5" t="s">
        <v>179</v>
      </c>
      <c r="T12" s="5" t="s">
        <v>180</v>
      </c>
      <c r="U12" s="5"/>
      <c r="V12" s="5" t="s">
        <v>181</v>
      </c>
      <c r="W12" s="5"/>
      <c r="X12" s="5" t="n">
        <f aca="false">COUNTIF(Test_Cases!$B$2:$B$1000,A12)</f>
        <v>4</v>
      </c>
      <c r="Y12" s="5" t="str">
        <f aca="false">IF(X12=0,"NO TEST",IF(X12&lt;3,"THIN","OK"))</f>
        <v>OK</v>
      </c>
    </row>
    <row r="13" customFormat="false" ht="43.25" hidden="false" customHeight="false" outlineLevel="0" collapsed="false">
      <c r="A13" s="5" t="s">
        <v>182</v>
      </c>
      <c r="B13" s="5" t="s">
        <v>183</v>
      </c>
      <c r="C13" s="5" t="s">
        <v>184</v>
      </c>
      <c r="D13" s="5" t="s">
        <v>47</v>
      </c>
      <c r="E13" s="5" t="s">
        <v>185</v>
      </c>
      <c r="F13" s="6" t="s">
        <v>49</v>
      </c>
      <c r="G13" s="5" t="n">
        <v>2</v>
      </c>
      <c r="H13" s="5" t="s">
        <v>65</v>
      </c>
      <c r="I13" s="7" t="s">
        <v>51</v>
      </c>
      <c r="J13" s="5" t="s">
        <v>186</v>
      </c>
      <c r="K13" s="5" t="s">
        <v>187</v>
      </c>
      <c r="L13" s="5" t="s">
        <v>188</v>
      </c>
      <c r="M13" s="5" t="s">
        <v>189</v>
      </c>
      <c r="N13" s="5"/>
      <c r="O13" s="5" t="s">
        <v>190</v>
      </c>
      <c r="P13" s="5" t="s">
        <v>191</v>
      </c>
      <c r="Q13" s="5"/>
      <c r="R13" s="5"/>
      <c r="S13" s="5" t="s">
        <v>192</v>
      </c>
      <c r="T13" s="5" t="s">
        <v>193</v>
      </c>
      <c r="U13" s="5" t="s">
        <v>194</v>
      </c>
      <c r="V13" s="5" t="s">
        <v>195</v>
      </c>
      <c r="W13" s="5" t="s">
        <v>196</v>
      </c>
      <c r="X13" s="5" t="n">
        <f aca="false">COUNTIF(Test_Cases!$B$2:$B$1000,A13)</f>
        <v>6</v>
      </c>
      <c r="Y13" s="5" t="str">
        <f aca="false">IF(X13=0,"NO TEST",IF(X13&lt;3,"THIN","OK"))</f>
        <v>OK</v>
      </c>
    </row>
    <row r="14" customFormat="false" ht="95.5" hidden="false" customHeight="false" outlineLevel="0" collapsed="false">
      <c r="A14" s="5" t="s">
        <v>197</v>
      </c>
      <c r="B14" s="5" t="s">
        <v>183</v>
      </c>
      <c r="C14" s="5" t="s">
        <v>198</v>
      </c>
      <c r="D14" s="5" t="s">
        <v>47</v>
      </c>
      <c r="E14" s="5" t="s">
        <v>199</v>
      </c>
      <c r="F14" s="6" t="s">
        <v>49</v>
      </c>
      <c r="G14" s="5" t="n">
        <v>2</v>
      </c>
      <c r="H14" s="5" t="s">
        <v>200</v>
      </c>
      <c r="I14" s="7" t="s">
        <v>51</v>
      </c>
      <c r="J14" s="5" t="s">
        <v>201</v>
      </c>
      <c r="K14" s="5" t="s">
        <v>202</v>
      </c>
      <c r="L14" s="5" t="s">
        <v>203</v>
      </c>
      <c r="M14" s="5" t="s">
        <v>204</v>
      </c>
      <c r="N14" s="5" t="s">
        <v>205</v>
      </c>
      <c r="O14" s="5" t="s">
        <v>206</v>
      </c>
      <c r="P14" s="5" t="s">
        <v>207</v>
      </c>
      <c r="Q14" s="5" t="s">
        <v>208</v>
      </c>
      <c r="R14" s="5" t="s">
        <v>209</v>
      </c>
      <c r="S14" s="5" t="s">
        <v>210</v>
      </c>
      <c r="T14" s="5" t="s">
        <v>211</v>
      </c>
      <c r="U14" s="5" t="s">
        <v>212</v>
      </c>
      <c r="V14" s="5" t="s">
        <v>213</v>
      </c>
      <c r="W14" s="5" t="s">
        <v>214</v>
      </c>
      <c r="X14" s="5" t="n">
        <f aca="false">COUNTIF(Test_Cases!$B$2:$B$1000,A14)</f>
        <v>18</v>
      </c>
      <c r="Y14" s="5" t="str">
        <f aca="false">IF(X14=0,"NO TEST",IF(X14&lt;3,"THIN","OK"))</f>
        <v>OK</v>
      </c>
    </row>
    <row r="15" customFormat="false" ht="74.6" hidden="false" customHeight="false" outlineLevel="0" collapsed="false">
      <c r="A15" s="5" t="s">
        <v>215</v>
      </c>
      <c r="B15" s="5" t="s">
        <v>183</v>
      </c>
      <c r="C15" s="5" t="s">
        <v>216</v>
      </c>
      <c r="D15" s="5" t="s">
        <v>47</v>
      </c>
      <c r="E15" s="5" t="s">
        <v>217</v>
      </c>
      <c r="F15" s="6" t="s">
        <v>49</v>
      </c>
      <c r="G15" s="5" t="n">
        <v>2</v>
      </c>
      <c r="H15" s="5" t="s">
        <v>65</v>
      </c>
      <c r="I15" s="7" t="s">
        <v>51</v>
      </c>
      <c r="J15" s="5" t="s">
        <v>218</v>
      </c>
      <c r="K15" s="5" t="s">
        <v>219</v>
      </c>
      <c r="L15" s="5" t="s">
        <v>220</v>
      </c>
      <c r="M15" s="5" t="s">
        <v>221</v>
      </c>
      <c r="N15" s="5" t="s">
        <v>222</v>
      </c>
      <c r="O15" s="5" t="s">
        <v>223</v>
      </c>
      <c r="P15" s="5" t="s">
        <v>224</v>
      </c>
      <c r="Q15" s="5" t="s">
        <v>225</v>
      </c>
      <c r="R15" s="5"/>
      <c r="S15" s="5" t="s">
        <v>226</v>
      </c>
      <c r="T15" s="5" t="s">
        <v>227</v>
      </c>
      <c r="U15" s="5" t="s">
        <v>228</v>
      </c>
      <c r="V15" s="5" t="s">
        <v>229</v>
      </c>
      <c r="W15" s="5" t="s">
        <v>230</v>
      </c>
      <c r="X15" s="5" t="n">
        <f aca="false">COUNTIF(Test_Cases!$B$2:$B$1000,A15)</f>
        <v>12</v>
      </c>
      <c r="Y15" s="5" t="str">
        <f aca="false">IF(X15=0,"NO TEST",IF(X15&lt;3,"THIN","OK"))</f>
        <v>OK</v>
      </c>
    </row>
    <row r="16" customFormat="false" ht="32.8" hidden="false" customHeight="false" outlineLevel="0" collapsed="false">
      <c r="A16" s="5" t="s">
        <v>231</v>
      </c>
      <c r="B16" s="5" t="s">
        <v>183</v>
      </c>
      <c r="C16" s="5" t="s">
        <v>232</v>
      </c>
      <c r="D16" s="5" t="s">
        <v>47</v>
      </c>
      <c r="E16" s="5" t="s">
        <v>233</v>
      </c>
      <c r="F16" s="6" t="s">
        <v>49</v>
      </c>
      <c r="G16" s="5" t="n">
        <v>2</v>
      </c>
      <c r="H16" s="5" t="s">
        <v>94</v>
      </c>
      <c r="I16" s="5" t="s">
        <v>108</v>
      </c>
      <c r="J16" s="5" t="s">
        <v>234</v>
      </c>
      <c r="K16" s="5" t="s">
        <v>235</v>
      </c>
      <c r="L16" s="5" t="s">
        <v>236</v>
      </c>
      <c r="M16" s="5" t="s">
        <v>237</v>
      </c>
      <c r="N16" s="5"/>
      <c r="O16" s="5" t="s">
        <v>238</v>
      </c>
      <c r="P16" s="5" t="s">
        <v>99</v>
      </c>
      <c r="Q16" s="5"/>
      <c r="R16" s="5"/>
      <c r="S16" s="5" t="s">
        <v>239</v>
      </c>
      <c r="T16" s="5" t="s">
        <v>240</v>
      </c>
      <c r="U16" s="5" t="s">
        <v>241</v>
      </c>
      <c r="V16" s="5" t="s">
        <v>197</v>
      </c>
      <c r="W16" s="5"/>
      <c r="X16" s="5" t="n">
        <f aca="false">COUNTIF(Test_Cases!$B$2:$B$1000,A16)</f>
        <v>4</v>
      </c>
      <c r="Y16" s="5" t="str">
        <f aca="false">IF(X16=0,"NO TEST",IF(X16&lt;3,"THIN","OK"))</f>
        <v>OK</v>
      </c>
    </row>
    <row r="17" customFormat="false" ht="43.25" hidden="false" customHeight="false" outlineLevel="0" collapsed="false">
      <c r="A17" s="5" t="s">
        <v>242</v>
      </c>
      <c r="B17" s="5" t="s">
        <v>183</v>
      </c>
      <c r="C17" s="5" t="s">
        <v>243</v>
      </c>
      <c r="D17" s="5" t="s">
        <v>47</v>
      </c>
      <c r="E17" s="5" t="s">
        <v>244</v>
      </c>
      <c r="F17" s="6" t="s">
        <v>49</v>
      </c>
      <c r="G17" s="5" t="n">
        <v>2</v>
      </c>
      <c r="H17" s="5" t="s">
        <v>50</v>
      </c>
      <c r="I17" s="5" t="s">
        <v>108</v>
      </c>
      <c r="J17" s="5" t="s">
        <v>245</v>
      </c>
      <c r="K17" s="5" t="s">
        <v>246</v>
      </c>
      <c r="L17" s="5" t="s">
        <v>247</v>
      </c>
      <c r="M17" s="5" t="s">
        <v>248</v>
      </c>
      <c r="N17" s="5" t="s">
        <v>249</v>
      </c>
      <c r="O17" s="5"/>
      <c r="P17" s="5" t="s">
        <v>250</v>
      </c>
      <c r="Q17" s="5" t="s">
        <v>251</v>
      </c>
      <c r="R17" s="5"/>
      <c r="S17" s="5" t="s">
        <v>252</v>
      </c>
      <c r="T17" s="5" t="s">
        <v>253</v>
      </c>
      <c r="U17" s="5" t="s">
        <v>254</v>
      </c>
      <c r="V17" s="5" t="s">
        <v>255</v>
      </c>
      <c r="W17" s="5" t="s">
        <v>230</v>
      </c>
      <c r="X17" s="5" t="n">
        <f aca="false">COUNTIF(Test_Cases!$B$2:$B$1000,A17)</f>
        <v>7</v>
      </c>
      <c r="Y17" s="5" t="str">
        <f aca="false">IF(X17=0,"NO TEST",IF(X17&lt;3,"THIN","OK"))</f>
        <v>OK</v>
      </c>
    </row>
    <row r="18" customFormat="false" ht="43.25" hidden="false" customHeight="false" outlineLevel="0" collapsed="false">
      <c r="A18" s="5" t="s">
        <v>256</v>
      </c>
      <c r="B18" s="5" t="s">
        <v>183</v>
      </c>
      <c r="C18" s="5" t="s">
        <v>257</v>
      </c>
      <c r="D18" s="5" t="s">
        <v>147</v>
      </c>
      <c r="E18" s="5" t="s">
        <v>258</v>
      </c>
      <c r="F18" s="6" t="s">
        <v>49</v>
      </c>
      <c r="G18" s="5" t="n">
        <v>2</v>
      </c>
      <c r="H18" s="5" t="s">
        <v>50</v>
      </c>
      <c r="I18" s="7" t="s">
        <v>51</v>
      </c>
      <c r="J18" s="5" t="s">
        <v>259</v>
      </c>
      <c r="K18" s="5" t="s">
        <v>260</v>
      </c>
      <c r="L18" s="5" t="s">
        <v>261</v>
      </c>
      <c r="M18" s="5" t="s">
        <v>152</v>
      </c>
      <c r="N18" s="5" t="s">
        <v>249</v>
      </c>
      <c r="O18" s="5" t="s">
        <v>85</v>
      </c>
      <c r="P18" s="5" t="s">
        <v>262</v>
      </c>
      <c r="Q18" s="5" t="s">
        <v>263</v>
      </c>
      <c r="R18" s="5"/>
      <c r="S18" s="5" t="s">
        <v>264</v>
      </c>
      <c r="T18" s="5" t="s">
        <v>265</v>
      </c>
      <c r="U18" s="5"/>
      <c r="V18" s="5" t="s">
        <v>266</v>
      </c>
      <c r="W18" s="5" t="s">
        <v>230</v>
      </c>
      <c r="X18" s="5" t="n">
        <f aca="false">COUNTIF(Test_Cases!$B$2:$B$1000,A18)</f>
        <v>4</v>
      </c>
      <c r="Y18" s="5" t="str">
        <f aca="false">IF(X18=0,"NO TEST",IF(X18&lt;3,"THIN","OK"))</f>
        <v>OK</v>
      </c>
    </row>
    <row r="19" customFormat="false" ht="53.7" hidden="false" customHeight="false" outlineLevel="0" collapsed="false">
      <c r="A19" s="5" t="s">
        <v>267</v>
      </c>
      <c r="B19" s="5" t="s">
        <v>268</v>
      </c>
      <c r="C19" s="5" t="s">
        <v>269</v>
      </c>
      <c r="D19" s="5" t="s">
        <v>172</v>
      </c>
      <c r="E19" s="5" t="s">
        <v>270</v>
      </c>
      <c r="F19" s="6" t="s">
        <v>49</v>
      </c>
      <c r="G19" s="5" t="n">
        <v>2</v>
      </c>
      <c r="H19" s="5" t="s">
        <v>200</v>
      </c>
      <c r="I19" s="7" t="s">
        <v>51</v>
      </c>
      <c r="J19" s="5" t="s">
        <v>271</v>
      </c>
      <c r="K19" s="5" t="s">
        <v>272</v>
      </c>
      <c r="L19" s="5" t="s">
        <v>273</v>
      </c>
      <c r="M19" s="5" t="s">
        <v>274</v>
      </c>
      <c r="N19" s="5" t="s">
        <v>275</v>
      </c>
      <c r="O19" s="5" t="s">
        <v>276</v>
      </c>
      <c r="P19" s="5" t="s">
        <v>277</v>
      </c>
      <c r="Q19" s="5" t="s">
        <v>278</v>
      </c>
      <c r="R19" s="5" t="s">
        <v>279</v>
      </c>
      <c r="S19" s="5" t="s">
        <v>280</v>
      </c>
      <c r="T19" s="5" t="s">
        <v>281</v>
      </c>
      <c r="U19" s="5"/>
      <c r="V19" s="5" t="s">
        <v>282</v>
      </c>
      <c r="W19" s="5" t="s">
        <v>230</v>
      </c>
      <c r="X19" s="5" t="n">
        <f aca="false">COUNTIF(Test_Cases!$B$2:$B$1000,A19)</f>
        <v>5</v>
      </c>
      <c r="Y19" s="5" t="str">
        <f aca="false">IF(X19=0,"NO TEST",IF(X19&lt;3,"THIN","OK"))</f>
        <v>OK</v>
      </c>
    </row>
    <row r="20" customFormat="false" ht="32.8" hidden="false" customHeight="false" outlineLevel="0" collapsed="false">
      <c r="A20" s="5" t="s">
        <v>283</v>
      </c>
      <c r="B20" s="5" t="s">
        <v>284</v>
      </c>
      <c r="C20" s="5" t="s">
        <v>285</v>
      </c>
      <c r="D20" s="5" t="s">
        <v>47</v>
      </c>
      <c r="E20" s="5" t="s">
        <v>286</v>
      </c>
      <c r="F20" s="8" t="s">
        <v>107</v>
      </c>
      <c r="G20" s="5" t="n">
        <v>2</v>
      </c>
      <c r="H20" s="5" t="s">
        <v>50</v>
      </c>
      <c r="I20" s="5" t="s">
        <v>108</v>
      </c>
      <c r="J20" s="5"/>
      <c r="K20" s="5" t="s">
        <v>287</v>
      </c>
      <c r="L20" s="5" t="s">
        <v>288</v>
      </c>
      <c r="M20" s="5" t="s">
        <v>55</v>
      </c>
      <c r="N20" s="5"/>
      <c r="O20" s="5" t="s">
        <v>289</v>
      </c>
      <c r="P20" s="5" t="s">
        <v>290</v>
      </c>
      <c r="Q20" s="5"/>
      <c r="R20" s="5"/>
      <c r="S20" s="5" t="s">
        <v>58</v>
      </c>
      <c r="T20" s="5" t="s">
        <v>291</v>
      </c>
      <c r="U20" s="5" t="s">
        <v>292</v>
      </c>
      <c r="V20" s="5"/>
      <c r="W20" s="5" t="s">
        <v>293</v>
      </c>
      <c r="X20" s="5" t="n">
        <f aca="false">COUNTIF(Test_Cases!$B$2:$B$1000,A20)</f>
        <v>5</v>
      </c>
      <c r="Y20" s="5" t="str">
        <f aca="false">IF(X20=0,"NO TEST",IF(X20&lt;3,"THIN","OK"))</f>
        <v>OK</v>
      </c>
    </row>
    <row r="21" customFormat="false" ht="53.7" hidden="false" customHeight="false" outlineLevel="0" collapsed="false">
      <c r="A21" s="5" t="s">
        <v>294</v>
      </c>
      <c r="B21" s="5" t="s">
        <v>284</v>
      </c>
      <c r="C21" s="5" t="s">
        <v>295</v>
      </c>
      <c r="D21" s="5" t="s">
        <v>125</v>
      </c>
      <c r="E21" s="5" t="s">
        <v>296</v>
      </c>
      <c r="F21" s="6" t="s">
        <v>49</v>
      </c>
      <c r="G21" s="5" t="n">
        <v>1</v>
      </c>
      <c r="H21" s="5" t="s">
        <v>65</v>
      </c>
      <c r="I21" s="5" t="s">
        <v>108</v>
      </c>
      <c r="J21" s="5"/>
      <c r="K21" s="5" t="s">
        <v>287</v>
      </c>
      <c r="L21" s="5" t="s">
        <v>297</v>
      </c>
      <c r="M21" s="5" t="s">
        <v>130</v>
      </c>
      <c r="N21" s="5"/>
      <c r="O21" s="5" t="s">
        <v>289</v>
      </c>
      <c r="P21" s="5" t="s">
        <v>99</v>
      </c>
      <c r="Q21" s="5"/>
      <c r="R21" s="5"/>
      <c r="S21" s="5" t="s">
        <v>298</v>
      </c>
      <c r="T21" s="5" t="s">
        <v>299</v>
      </c>
      <c r="U21" s="5"/>
      <c r="V21" s="5"/>
      <c r="W21" s="5" t="s">
        <v>293</v>
      </c>
      <c r="X21" s="5" t="n">
        <f aca="false">COUNTIF(Test_Cases!$B$2:$B$1000,A21)</f>
        <v>3</v>
      </c>
      <c r="Y21" s="5" t="str">
        <f aca="false">IF(X21=0,"NO TEST",IF(X21&lt;3,"THIN","OK"))</f>
        <v>OK</v>
      </c>
    </row>
    <row r="22" customFormat="false" ht="32.8" hidden="false" customHeight="false" outlineLevel="0" collapsed="false">
      <c r="A22" s="5" t="s">
        <v>300</v>
      </c>
      <c r="B22" s="5" t="s">
        <v>284</v>
      </c>
      <c r="C22" s="5" t="s">
        <v>301</v>
      </c>
      <c r="D22" s="5" t="s">
        <v>125</v>
      </c>
      <c r="E22" s="5" t="s">
        <v>302</v>
      </c>
      <c r="F22" s="6" t="s">
        <v>49</v>
      </c>
      <c r="G22" s="5" t="n">
        <v>2</v>
      </c>
      <c r="H22" s="5" t="s">
        <v>50</v>
      </c>
      <c r="I22" s="5" t="s">
        <v>108</v>
      </c>
      <c r="J22" s="5"/>
      <c r="K22" s="5" t="s">
        <v>287</v>
      </c>
      <c r="L22" s="5" t="s">
        <v>303</v>
      </c>
      <c r="M22" s="5" t="s">
        <v>130</v>
      </c>
      <c r="N22" s="5" t="s">
        <v>304</v>
      </c>
      <c r="O22" s="5" t="s">
        <v>305</v>
      </c>
      <c r="P22" s="5" t="s">
        <v>99</v>
      </c>
      <c r="Q22" s="5"/>
      <c r="R22" s="5"/>
      <c r="S22" s="5" t="s">
        <v>306</v>
      </c>
      <c r="T22" s="5" t="s">
        <v>307</v>
      </c>
      <c r="U22" s="5"/>
      <c r="V22" s="5" t="s">
        <v>294</v>
      </c>
      <c r="W22" s="5"/>
      <c r="X22" s="5" t="n">
        <f aca="false">COUNTIF(Test_Cases!$B$2:$B$1000,A22)</f>
        <v>3</v>
      </c>
      <c r="Y22" s="5" t="str">
        <f aca="false">IF(X22=0,"NO TEST",IF(X22&lt;3,"THIN","OK"))</f>
        <v>OK</v>
      </c>
    </row>
    <row r="23" customFormat="false" ht="32.8" hidden="false" customHeight="false" outlineLevel="0" collapsed="false">
      <c r="A23" s="5" t="s">
        <v>308</v>
      </c>
      <c r="B23" s="5" t="s">
        <v>284</v>
      </c>
      <c r="C23" s="5" t="s">
        <v>309</v>
      </c>
      <c r="D23" s="5" t="s">
        <v>125</v>
      </c>
      <c r="E23" s="5" t="s">
        <v>310</v>
      </c>
      <c r="F23" s="6" t="s">
        <v>49</v>
      </c>
      <c r="G23" s="5" t="n">
        <v>2</v>
      </c>
      <c r="H23" s="5" t="s">
        <v>50</v>
      </c>
      <c r="I23" s="5" t="s">
        <v>108</v>
      </c>
      <c r="J23" s="5" t="s">
        <v>311</v>
      </c>
      <c r="K23" s="5" t="s">
        <v>287</v>
      </c>
      <c r="L23" s="5" t="s">
        <v>312</v>
      </c>
      <c r="M23" s="5" t="s">
        <v>130</v>
      </c>
      <c r="N23" s="5" t="s">
        <v>304</v>
      </c>
      <c r="O23" s="5" t="s">
        <v>305</v>
      </c>
      <c r="P23" s="5" t="s">
        <v>99</v>
      </c>
      <c r="Q23" s="5"/>
      <c r="R23" s="5"/>
      <c r="S23" s="5" t="s">
        <v>313</v>
      </c>
      <c r="T23" s="5" t="s">
        <v>314</v>
      </c>
      <c r="U23" s="5"/>
      <c r="V23" s="5" t="s">
        <v>300</v>
      </c>
      <c r="W23" s="5" t="s">
        <v>315</v>
      </c>
      <c r="X23" s="5" t="n">
        <f aca="false">COUNTIF(Test_Cases!$B$2:$B$1000,A23)</f>
        <v>3</v>
      </c>
      <c r="Y23" s="5" t="str">
        <f aca="false">IF(X23=0,"NO TEST",IF(X23&lt;3,"THIN","OK"))</f>
        <v>OK</v>
      </c>
    </row>
    <row r="24" customFormat="false" ht="43.25" hidden="false" customHeight="false" outlineLevel="0" collapsed="false">
      <c r="A24" s="5" t="s">
        <v>316</v>
      </c>
      <c r="B24" s="5" t="s">
        <v>284</v>
      </c>
      <c r="C24" s="5" t="s">
        <v>317</v>
      </c>
      <c r="D24" s="5" t="s">
        <v>47</v>
      </c>
      <c r="E24" s="5" t="s">
        <v>318</v>
      </c>
      <c r="F24" s="8" t="s">
        <v>107</v>
      </c>
      <c r="G24" s="5" t="n">
        <v>4</v>
      </c>
      <c r="H24" s="5" t="s">
        <v>50</v>
      </c>
      <c r="I24" s="10" t="s">
        <v>319</v>
      </c>
      <c r="J24" s="5" t="s">
        <v>320</v>
      </c>
      <c r="K24" s="5" t="s">
        <v>321</v>
      </c>
      <c r="L24" s="5" t="s">
        <v>322</v>
      </c>
      <c r="M24" s="5" t="s">
        <v>323</v>
      </c>
      <c r="N24" s="5" t="s">
        <v>324</v>
      </c>
      <c r="O24" s="5" t="s">
        <v>325</v>
      </c>
      <c r="P24" s="5" t="s">
        <v>326</v>
      </c>
      <c r="Q24" s="5"/>
      <c r="R24" s="5"/>
      <c r="S24" s="5" t="s">
        <v>327</v>
      </c>
      <c r="T24" s="5" t="s">
        <v>328</v>
      </c>
      <c r="U24" s="5" t="s">
        <v>329</v>
      </c>
      <c r="V24" s="5" t="s">
        <v>294</v>
      </c>
      <c r="W24" s="5" t="s">
        <v>330</v>
      </c>
      <c r="X24" s="5" t="n">
        <f aca="false">COUNTIF(Test_Cases!$B$2:$B$1000,A24)</f>
        <v>8</v>
      </c>
      <c r="Y24" s="5" t="str">
        <f aca="false">IF(X24=0,"NO TEST",IF(X24&lt;3,"THIN","OK"))</f>
        <v>OK</v>
      </c>
    </row>
    <row r="25" customFormat="false" ht="43.25" hidden="false" customHeight="false" outlineLevel="0" collapsed="false">
      <c r="A25" s="5" t="s">
        <v>331</v>
      </c>
      <c r="B25" s="5" t="s">
        <v>284</v>
      </c>
      <c r="C25" s="5" t="s">
        <v>332</v>
      </c>
      <c r="D25" s="5" t="s">
        <v>47</v>
      </c>
      <c r="E25" s="5" t="s">
        <v>333</v>
      </c>
      <c r="F25" s="8" t="s">
        <v>107</v>
      </c>
      <c r="G25" s="5" t="n">
        <v>4</v>
      </c>
      <c r="H25" s="5" t="s">
        <v>50</v>
      </c>
      <c r="I25" s="10" t="s">
        <v>319</v>
      </c>
      <c r="J25" s="5" t="s">
        <v>334</v>
      </c>
      <c r="K25" s="5" t="s">
        <v>321</v>
      </c>
      <c r="L25" s="5" t="s">
        <v>335</v>
      </c>
      <c r="M25" s="5" t="s">
        <v>336</v>
      </c>
      <c r="N25" s="5" t="s">
        <v>337</v>
      </c>
      <c r="O25" s="5" t="s">
        <v>304</v>
      </c>
      <c r="P25" s="5" t="s">
        <v>99</v>
      </c>
      <c r="Q25" s="5"/>
      <c r="R25" s="5"/>
      <c r="S25" s="5" t="s">
        <v>338</v>
      </c>
      <c r="T25" s="5" t="s">
        <v>339</v>
      </c>
      <c r="U25" s="5" t="s">
        <v>340</v>
      </c>
      <c r="V25" s="5" t="s">
        <v>316</v>
      </c>
      <c r="W25" s="5" t="s">
        <v>330</v>
      </c>
      <c r="X25" s="5" t="n">
        <f aca="false">COUNTIF(Test_Cases!$B$2:$B$1000,A25)</f>
        <v>8</v>
      </c>
      <c r="Y25" s="5" t="str">
        <f aca="false">IF(X25=0,"NO TEST",IF(X25&lt;3,"THIN","OK"))</f>
        <v>OK</v>
      </c>
    </row>
    <row r="26" customFormat="false" ht="22.35" hidden="false" customHeight="false" outlineLevel="0" collapsed="false">
      <c r="A26" s="5" t="s">
        <v>341</v>
      </c>
      <c r="B26" s="5" t="s">
        <v>284</v>
      </c>
      <c r="C26" s="5" t="s">
        <v>342</v>
      </c>
      <c r="D26" s="5" t="s">
        <v>47</v>
      </c>
      <c r="E26" s="5" t="s">
        <v>343</v>
      </c>
      <c r="F26" s="9" t="s">
        <v>162</v>
      </c>
      <c r="G26" s="5" t="n">
        <v>4</v>
      </c>
      <c r="H26" s="5" t="s">
        <v>94</v>
      </c>
      <c r="I26" s="10" t="s">
        <v>319</v>
      </c>
      <c r="J26" s="5" t="s">
        <v>344</v>
      </c>
      <c r="K26" s="5" t="s">
        <v>321</v>
      </c>
      <c r="L26" s="5" t="s">
        <v>335</v>
      </c>
      <c r="M26" s="5" t="s">
        <v>345</v>
      </c>
      <c r="N26" s="5"/>
      <c r="O26" s="5" t="s">
        <v>337</v>
      </c>
      <c r="P26" s="5" t="s">
        <v>99</v>
      </c>
      <c r="Q26" s="5"/>
      <c r="R26" s="5"/>
      <c r="S26" s="5" t="s">
        <v>58</v>
      </c>
      <c r="T26" s="5" t="s">
        <v>346</v>
      </c>
      <c r="U26" s="5" t="s">
        <v>347</v>
      </c>
      <c r="V26" s="5" t="s">
        <v>316</v>
      </c>
      <c r="W26" s="5" t="s">
        <v>330</v>
      </c>
      <c r="X26" s="5" t="n">
        <f aca="false">COUNTIF(Test_Cases!$B$2:$B$1000,A26)</f>
        <v>4</v>
      </c>
      <c r="Y26" s="5" t="str">
        <f aca="false">IF(X26=0,"NO TEST",IF(X26&lt;3,"THIN","OK"))</f>
        <v>OK</v>
      </c>
    </row>
    <row r="27" customFormat="false" ht="22.35" hidden="false" customHeight="false" outlineLevel="0" collapsed="false">
      <c r="A27" s="5" t="s">
        <v>348</v>
      </c>
      <c r="B27" s="5" t="s">
        <v>284</v>
      </c>
      <c r="C27" s="5" t="s">
        <v>349</v>
      </c>
      <c r="D27" s="5" t="s">
        <v>147</v>
      </c>
      <c r="E27" s="5" t="s">
        <v>350</v>
      </c>
      <c r="F27" s="9" t="s">
        <v>162</v>
      </c>
      <c r="G27" s="5" t="n">
        <v>4</v>
      </c>
      <c r="H27" s="5" t="s">
        <v>94</v>
      </c>
      <c r="I27" s="10" t="s">
        <v>319</v>
      </c>
      <c r="J27" s="5" t="s">
        <v>351</v>
      </c>
      <c r="K27" s="5" t="s">
        <v>321</v>
      </c>
      <c r="L27" s="5" t="s">
        <v>352</v>
      </c>
      <c r="M27" s="5" t="s">
        <v>152</v>
      </c>
      <c r="N27" s="5" t="s">
        <v>325</v>
      </c>
      <c r="O27" s="5" t="s">
        <v>325</v>
      </c>
      <c r="P27" s="5" t="s">
        <v>99</v>
      </c>
      <c r="Q27" s="5"/>
      <c r="R27" s="5"/>
      <c r="S27" s="5" t="s">
        <v>353</v>
      </c>
      <c r="T27" s="5" t="s">
        <v>354</v>
      </c>
      <c r="U27" s="5"/>
      <c r="V27" s="5" t="s">
        <v>316</v>
      </c>
      <c r="W27" s="5" t="s">
        <v>293</v>
      </c>
      <c r="X27" s="5" t="n">
        <f aca="false">COUNTIF(Test_Cases!$B$2:$B$1000,A27)</f>
        <v>3</v>
      </c>
      <c r="Y27" s="5" t="str">
        <f aca="false">IF(X27=0,"NO TEST",IF(X27&lt;3,"THIN","OK"))</f>
        <v>OK</v>
      </c>
    </row>
    <row r="28" customFormat="false" ht="22.35" hidden="false" customHeight="false" outlineLevel="0" collapsed="false">
      <c r="A28" s="5" t="s">
        <v>355</v>
      </c>
      <c r="B28" s="5" t="s">
        <v>356</v>
      </c>
      <c r="C28" s="5" t="s">
        <v>357</v>
      </c>
      <c r="D28" s="5" t="s">
        <v>47</v>
      </c>
      <c r="E28" s="5" t="s">
        <v>358</v>
      </c>
      <c r="F28" s="6" t="s">
        <v>49</v>
      </c>
      <c r="G28" s="5" t="n">
        <v>3</v>
      </c>
      <c r="H28" s="5" t="s">
        <v>50</v>
      </c>
      <c r="I28" s="5" t="s">
        <v>108</v>
      </c>
      <c r="J28" s="5"/>
      <c r="K28" s="5" t="s">
        <v>359</v>
      </c>
      <c r="L28" s="5" t="s">
        <v>360</v>
      </c>
      <c r="M28" s="5" t="s">
        <v>361</v>
      </c>
      <c r="N28" s="5"/>
      <c r="O28" s="5" t="s">
        <v>362</v>
      </c>
      <c r="P28" s="5" t="s">
        <v>363</v>
      </c>
      <c r="Q28" s="5"/>
      <c r="R28" s="5"/>
      <c r="S28" s="5" t="s">
        <v>58</v>
      </c>
      <c r="T28" s="5" t="s">
        <v>364</v>
      </c>
      <c r="U28" s="5" t="s">
        <v>365</v>
      </c>
      <c r="V28" s="5"/>
      <c r="W28" s="5" t="s">
        <v>366</v>
      </c>
      <c r="X28" s="5" t="n">
        <f aca="false">COUNTIF(Test_Cases!$B$2:$B$1000,A28)</f>
        <v>5</v>
      </c>
      <c r="Y28" s="5" t="str">
        <f aca="false">IF(X28=0,"NO TEST",IF(X28&lt;3,"THIN","OK"))</f>
        <v>OK</v>
      </c>
    </row>
    <row r="29" customFormat="false" ht="43.25" hidden="false" customHeight="false" outlineLevel="0" collapsed="false">
      <c r="A29" s="5" t="s">
        <v>367</v>
      </c>
      <c r="B29" s="5" t="s">
        <v>356</v>
      </c>
      <c r="C29" s="5" t="s">
        <v>368</v>
      </c>
      <c r="D29" s="5" t="s">
        <v>47</v>
      </c>
      <c r="E29" s="5" t="s">
        <v>369</v>
      </c>
      <c r="F29" s="6" t="s">
        <v>49</v>
      </c>
      <c r="G29" s="5" t="n">
        <v>3</v>
      </c>
      <c r="H29" s="5" t="s">
        <v>65</v>
      </c>
      <c r="I29" s="5" t="s">
        <v>108</v>
      </c>
      <c r="J29" s="5"/>
      <c r="K29" s="5" t="s">
        <v>370</v>
      </c>
      <c r="L29" s="5" t="s">
        <v>371</v>
      </c>
      <c r="M29" s="5" t="s">
        <v>372</v>
      </c>
      <c r="N29" s="5"/>
      <c r="O29" s="5" t="s">
        <v>373</v>
      </c>
      <c r="P29" s="5" t="s">
        <v>374</v>
      </c>
      <c r="Q29" s="5"/>
      <c r="R29" s="5"/>
      <c r="S29" s="5" t="s">
        <v>58</v>
      </c>
      <c r="T29" s="5" t="s">
        <v>375</v>
      </c>
      <c r="U29" s="5" t="s">
        <v>376</v>
      </c>
      <c r="V29" s="5" t="s">
        <v>377</v>
      </c>
      <c r="W29" s="5"/>
      <c r="X29" s="5" t="n">
        <f aca="false">COUNTIF(Test_Cases!$B$2:$B$1000,A29)</f>
        <v>5</v>
      </c>
      <c r="Y29" s="5" t="str">
        <f aca="false">IF(X29=0,"NO TEST",IF(X29&lt;3,"THIN","OK"))</f>
        <v>OK</v>
      </c>
    </row>
    <row r="30" customFormat="false" ht="32.8" hidden="false" customHeight="false" outlineLevel="0" collapsed="false">
      <c r="A30" s="5" t="s">
        <v>378</v>
      </c>
      <c r="B30" s="5" t="s">
        <v>356</v>
      </c>
      <c r="C30" s="5" t="s">
        <v>379</v>
      </c>
      <c r="D30" s="5" t="s">
        <v>47</v>
      </c>
      <c r="E30" s="5" t="s">
        <v>380</v>
      </c>
      <c r="F30" s="6" t="s">
        <v>49</v>
      </c>
      <c r="G30" s="5" t="n">
        <v>3</v>
      </c>
      <c r="H30" s="5" t="s">
        <v>50</v>
      </c>
      <c r="I30" s="5" t="s">
        <v>108</v>
      </c>
      <c r="J30" s="5"/>
      <c r="K30" s="5" t="s">
        <v>359</v>
      </c>
      <c r="L30" s="5" t="s">
        <v>381</v>
      </c>
      <c r="M30" s="5" t="s">
        <v>382</v>
      </c>
      <c r="N30" s="5"/>
      <c r="O30" s="5" t="s">
        <v>383</v>
      </c>
      <c r="P30" s="5" t="s">
        <v>99</v>
      </c>
      <c r="Q30" s="5"/>
      <c r="R30" s="5"/>
      <c r="S30" s="5" t="s">
        <v>58</v>
      </c>
      <c r="T30" s="5" t="s">
        <v>384</v>
      </c>
      <c r="U30" s="5" t="s">
        <v>365</v>
      </c>
      <c r="V30" s="5"/>
      <c r="W30" s="5"/>
      <c r="X30" s="5" t="n">
        <f aca="false">COUNTIF(Test_Cases!$B$2:$B$1000,A30)</f>
        <v>4</v>
      </c>
      <c r="Y30" s="5" t="str">
        <f aca="false">IF(X30=0,"NO TEST",IF(X30&lt;3,"THIN","OK"))</f>
        <v>OK</v>
      </c>
    </row>
    <row r="31" customFormat="false" ht="53.7" hidden="false" customHeight="false" outlineLevel="0" collapsed="false">
      <c r="A31" s="5" t="s">
        <v>385</v>
      </c>
      <c r="B31" s="5" t="s">
        <v>356</v>
      </c>
      <c r="C31" s="5" t="s">
        <v>386</v>
      </c>
      <c r="D31" s="5" t="s">
        <v>47</v>
      </c>
      <c r="E31" s="5" t="s">
        <v>387</v>
      </c>
      <c r="F31" s="6" t="s">
        <v>49</v>
      </c>
      <c r="G31" s="5" t="n">
        <v>3</v>
      </c>
      <c r="H31" s="5" t="s">
        <v>50</v>
      </c>
      <c r="I31" s="5" t="s">
        <v>108</v>
      </c>
      <c r="J31" s="5" t="s">
        <v>388</v>
      </c>
      <c r="K31" s="5" t="s">
        <v>389</v>
      </c>
      <c r="L31" s="5" t="s">
        <v>390</v>
      </c>
      <c r="M31" s="5" t="s">
        <v>391</v>
      </c>
      <c r="N31" s="5" t="s">
        <v>392</v>
      </c>
      <c r="O31" s="5" t="s">
        <v>383</v>
      </c>
      <c r="P31" s="5" t="s">
        <v>393</v>
      </c>
      <c r="Q31" s="5" t="s">
        <v>394</v>
      </c>
      <c r="R31" s="5"/>
      <c r="S31" s="5" t="s">
        <v>395</v>
      </c>
      <c r="T31" s="5" t="s">
        <v>396</v>
      </c>
      <c r="U31" s="5" t="s">
        <v>397</v>
      </c>
      <c r="V31" s="5" t="s">
        <v>377</v>
      </c>
      <c r="W31" s="5" t="s">
        <v>398</v>
      </c>
      <c r="X31" s="5" t="n">
        <f aca="false">COUNTIF(Test_Cases!$B$2:$B$1000,A31)</f>
        <v>9</v>
      </c>
      <c r="Y31" s="5" t="str">
        <f aca="false">IF(X31=0,"NO TEST",IF(X31&lt;3,"THIN","OK"))</f>
        <v>OK</v>
      </c>
    </row>
    <row r="32" customFormat="false" ht="64.15" hidden="false" customHeight="false" outlineLevel="0" collapsed="false">
      <c r="A32" s="5" t="s">
        <v>399</v>
      </c>
      <c r="B32" s="5" t="s">
        <v>356</v>
      </c>
      <c r="C32" s="5" t="s">
        <v>400</v>
      </c>
      <c r="D32" s="5" t="s">
        <v>47</v>
      </c>
      <c r="E32" s="5" t="s">
        <v>401</v>
      </c>
      <c r="F32" s="6" t="s">
        <v>49</v>
      </c>
      <c r="G32" s="5" t="n">
        <v>3</v>
      </c>
      <c r="H32" s="5" t="s">
        <v>65</v>
      </c>
      <c r="I32" s="7" t="s">
        <v>51</v>
      </c>
      <c r="J32" s="5" t="s">
        <v>402</v>
      </c>
      <c r="K32" s="5" t="s">
        <v>403</v>
      </c>
      <c r="L32" s="5" t="s">
        <v>404</v>
      </c>
      <c r="M32" s="5" t="s">
        <v>405</v>
      </c>
      <c r="N32" s="5" t="s">
        <v>406</v>
      </c>
      <c r="O32" s="5" t="s">
        <v>383</v>
      </c>
      <c r="P32" s="5" t="s">
        <v>407</v>
      </c>
      <c r="Q32" s="5" t="s">
        <v>408</v>
      </c>
      <c r="R32" s="5"/>
      <c r="S32" s="5" t="s">
        <v>409</v>
      </c>
      <c r="T32" s="5" t="s">
        <v>410</v>
      </c>
      <c r="U32" s="5" t="s">
        <v>411</v>
      </c>
      <c r="V32" s="5" t="s">
        <v>412</v>
      </c>
      <c r="W32" s="5" t="s">
        <v>413</v>
      </c>
      <c r="X32" s="5" t="n">
        <f aca="false">COUNTIF(Test_Cases!$B$2:$B$1000,A32)</f>
        <v>6</v>
      </c>
      <c r="Y32" s="5" t="str">
        <f aca="false">IF(X32=0,"NO TEST",IF(X32&lt;3,"THIN","OK"))</f>
        <v>OK</v>
      </c>
    </row>
    <row r="33" customFormat="false" ht="64.15" hidden="false" customHeight="false" outlineLevel="0" collapsed="false">
      <c r="A33" s="5" t="s">
        <v>414</v>
      </c>
      <c r="B33" s="5" t="s">
        <v>356</v>
      </c>
      <c r="C33" s="5" t="s">
        <v>415</v>
      </c>
      <c r="D33" s="5" t="s">
        <v>47</v>
      </c>
      <c r="E33" s="5" t="s">
        <v>416</v>
      </c>
      <c r="F33" s="6" t="s">
        <v>49</v>
      </c>
      <c r="G33" s="5" t="n">
        <v>3</v>
      </c>
      <c r="H33" s="5" t="s">
        <v>200</v>
      </c>
      <c r="I33" s="7" t="s">
        <v>51</v>
      </c>
      <c r="J33" s="5" t="s">
        <v>417</v>
      </c>
      <c r="K33" s="5" t="s">
        <v>246</v>
      </c>
      <c r="L33" s="5" t="s">
        <v>418</v>
      </c>
      <c r="M33" s="5" t="s">
        <v>419</v>
      </c>
      <c r="N33" s="5" t="s">
        <v>420</v>
      </c>
      <c r="O33" s="5" t="s">
        <v>85</v>
      </c>
      <c r="P33" s="5" t="s">
        <v>421</v>
      </c>
      <c r="Q33" s="5" t="s">
        <v>422</v>
      </c>
      <c r="R33" s="5"/>
      <c r="S33" s="5" t="s">
        <v>423</v>
      </c>
      <c r="T33" s="5" t="s">
        <v>424</v>
      </c>
      <c r="U33" s="5" t="s">
        <v>425</v>
      </c>
      <c r="V33" s="5" t="s">
        <v>426</v>
      </c>
      <c r="W33" s="5" t="s">
        <v>427</v>
      </c>
      <c r="X33" s="5" t="n">
        <f aca="false">COUNTIF(Test_Cases!$B$2:$B$1000,A33)</f>
        <v>10</v>
      </c>
      <c r="Y33" s="5" t="str">
        <f aca="false">IF(X33=0,"NO TEST",IF(X33&lt;3,"THIN","OK"))</f>
        <v>OK</v>
      </c>
    </row>
    <row r="34" customFormat="false" ht="43.25" hidden="false" customHeight="false" outlineLevel="0" collapsed="false">
      <c r="A34" s="5" t="s">
        <v>428</v>
      </c>
      <c r="B34" s="5" t="s">
        <v>356</v>
      </c>
      <c r="C34" s="5" t="s">
        <v>429</v>
      </c>
      <c r="D34" s="5" t="s">
        <v>47</v>
      </c>
      <c r="E34" s="5" t="s">
        <v>430</v>
      </c>
      <c r="F34" s="9" t="s">
        <v>162</v>
      </c>
      <c r="G34" s="5" t="n">
        <v>4</v>
      </c>
      <c r="H34" s="5" t="s">
        <v>94</v>
      </c>
      <c r="I34" s="7" t="s">
        <v>51</v>
      </c>
      <c r="J34" s="5" t="s">
        <v>431</v>
      </c>
      <c r="K34" s="5" t="s">
        <v>389</v>
      </c>
      <c r="L34" s="5" t="s">
        <v>432</v>
      </c>
      <c r="M34" s="5" t="s">
        <v>433</v>
      </c>
      <c r="N34" s="5" t="s">
        <v>392</v>
      </c>
      <c r="O34" s="5" t="s">
        <v>383</v>
      </c>
      <c r="P34" s="5" t="s">
        <v>99</v>
      </c>
      <c r="Q34" s="5" t="s">
        <v>434</v>
      </c>
      <c r="R34" s="5"/>
      <c r="S34" s="5" t="s">
        <v>435</v>
      </c>
      <c r="T34" s="5" t="s">
        <v>436</v>
      </c>
      <c r="U34" s="5" t="s">
        <v>411</v>
      </c>
      <c r="V34" s="5" t="s">
        <v>377</v>
      </c>
      <c r="W34" s="5" t="s">
        <v>437</v>
      </c>
      <c r="X34" s="5" t="n">
        <f aca="false">COUNTIF(Test_Cases!$B$2:$B$1000,A34)</f>
        <v>5</v>
      </c>
      <c r="Y34" s="5" t="str">
        <f aca="false">IF(X34=0,"NO TEST",IF(X34&lt;3,"THIN","OK"))</f>
        <v>OK</v>
      </c>
    </row>
    <row r="35" customFormat="false" ht="22.35" hidden="false" customHeight="false" outlineLevel="0" collapsed="false">
      <c r="A35" s="5" t="s">
        <v>438</v>
      </c>
      <c r="B35" s="5" t="s">
        <v>356</v>
      </c>
      <c r="C35" s="5" t="s">
        <v>439</v>
      </c>
      <c r="D35" s="5" t="s">
        <v>147</v>
      </c>
      <c r="E35" s="5" t="s">
        <v>440</v>
      </c>
      <c r="F35" s="8" t="s">
        <v>107</v>
      </c>
      <c r="G35" s="5" t="n">
        <v>3</v>
      </c>
      <c r="H35" s="5" t="s">
        <v>94</v>
      </c>
      <c r="I35" s="5" t="s">
        <v>108</v>
      </c>
      <c r="J35" s="5" t="s">
        <v>441</v>
      </c>
      <c r="K35" s="5" t="s">
        <v>389</v>
      </c>
      <c r="L35" s="5" t="s">
        <v>432</v>
      </c>
      <c r="M35" s="5" t="s">
        <v>152</v>
      </c>
      <c r="N35" s="5" t="s">
        <v>392</v>
      </c>
      <c r="O35" s="5" t="s">
        <v>442</v>
      </c>
      <c r="P35" s="5" t="s">
        <v>99</v>
      </c>
      <c r="Q35" s="5" t="s">
        <v>443</v>
      </c>
      <c r="R35" s="5"/>
      <c r="S35" s="5" t="s">
        <v>444</v>
      </c>
      <c r="T35" s="5" t="s">
        <v>445</v>
      </c>
      <c r="U35" s="5"/>
      <c r="V35" s="5" t="s">
        <v>446</v>
      </c>
      <c r="W35" s="5" t="s">
        <v>447</v>
      </c>
      <c r="X35" s="5" t="n">
        <f aca="false">COUNTIF(Test_Cases!$B$2:$B$1000,A35)</f>
        <v>3</v>
      </c>
      <c r="Y35" s="5" t="str">
        <f aca="false">IF(X35=0,"NO TEST",IF(X35&lt;3,"THIN","OK"))</f>
        <v>OK</v>
      </c>
    </row>
    <row r="36" customFormat="false" ht="43.25" hidden="false" customHeight="false" outlineLevel="0" collapsed="false">
      <c r="A36" s="5" t="s">
        <v>448</v>
      </c>
      <c r="B36" s="5" t="s">
        <v>356</v>
      </c>
      <c r="C36" s="5" t="s">
        <v>449</v>
      </c>
      <c r="D36" s="5" t="s">
        <v>147</v>
      </c>
      <c r="E36" s="5" t="s">
        <v>450</v>
      </c>
      <c r="F36" s="6" t="s">
        <v>49</v>
      </c>
      <c r="G36" s="5" t="n">
        <v>3</v>
      </c>
      <c r="H36" s="5" t="s">
        <v>50</v>
      </c>
      <c r="I36" s="5" t="s">
        <v>108</v>
      </c>
      <c r="J36" s="5"/>
      <c r="K36" s="5" t="s">
        <v>403</v>
      </c>
      <c r="L36" s="5" t="s">
        <v>451</v>
      </c>
      <c r="M36" s="5" t="s">
        <v>152</v>
      </c>
      <c r="N36" s="5" t="s">
        <v>406</v>
      </c>
      <c r="O36" s="5" t="s">
        <v>383</v>
      </c>
      <c r="P36" s="5" t="s">
        <v>452</v>
      </c>
      <c r="Q36" s="5" t="s">
        <v>453</v>
      </c>
      <c r="R36" s="5"/>
      <c r="S36" s="5" t="s">
        <v>454</v>
      </c>
      <c r="T36" s="5" t="s">
        <v>455</v>
      </c>
      <c r="U36" s="5"/>
      <c r="V36" s="5" t="s">
        <v>456</v>
      </c>
      <c r="W36" s="5" t="s">
        <v>230</v>
      </c>
      <c r="X36" s="5" t="n">
        <f aca="false">COUNTIF(Test_Cases!$B$2:$B$1000,A36)</f>
        <v>3</v>
      </c>
      <c r="Y36" s="5" t="str">
        <f aca="false">IF(X36=0,"NO TEST",IF(X36&lt;3,"THIN","OK"))</f>
        <v>OK</v>
      </c>
    </row>
    <row r="37" customFormat="false" ht="53.7" hidden="false" customHeight="false" outlineLevel="0" collapsed="false">
      <c r="A37" s="5" t="s">
        <v>457</v>
      </c>
      <c r="B37" s="5" t="s">
        <v>356</v>
      </c>
      <c r="C37" s="5" t="s">
        <v>458</v>
      </c>
      <c r="D37" s="5" t="s">
        <v>172</v>
      </c>
      <c r="E37" s="5" t="s">
        <v>459</v>
      </c>
      <c r="F37" s="6" t="s">
        <v>49</v>
      </c>
      <c r="G37" s="5" t="n">
        <v>3</v>
      </c>
      <c r="H37" s="5" t="s">
        <v>65</v>
      </c>
      <c r="I37" s="7" t="s">
        <v>51</v>
      </c>
      <c r="J37" s="5" t="s">
        <v>460</v>
      </c>
      <c r="K37" s="5" t="s">
        <v>389</v>
      </c>
      <c r="L37" s="5" t="s">
        <v>461</v>
      </c>
      <c r="M37" s="5" t="s">
        <v>152</v>
      </c>
      <c r="N37" s="5" t="s">
        <v>462</v>
      </c>
      <c r="O37" s="5" t="s">
        <v>383</v>
      </c>
      <c r="P37" s="5" t="s">
        <v>463</v>
      </c>
      <c r="Q37" s="5" t="s">
        <v>464</v>
      </c>
      <c r="R37" s="5" t="s">
        <v>465</v>
      </c>
      <c r="S37" s="5" t="s">
        <v>466</v>
      </c>
      <c r="T37" s="5" t="s">
        <v>467</v>
      </c>
      <c r="U37" s="5"/>
      <c r="V37" s="5" t="s">
        <v>468</v>
      </c>
      <c r="W37" s="5" t="s">
        <v>469</v>
      </c>
      <c r="X37" s="5" t="n">
        <f aca="false">COUNTIF(Test_Cases!$B$2:$B$1000,A37)</f>
        <v>4</v>
      </c>
      <c r="Y37" s="5" t="str">
        <f aca="false">IF(X37=0,"NO TEST",IF(X37&lt;3,"THIN","OK"))</f>
        <v>OK</v>
      </c>
    </row>
    <row r="38" customFormat="false" ht="22.35" hidden="false" customHeight="false" outlineLevel="0" collapsed="false">
      <c r="A38" s="5" t="s">
        <v>470</v>
      </c>
      <c r="B38" s="5" t="s">
        <v>356</v>
      </c>
      <c r="C38" s="5" t="s">
        <v>471</v>
      </c>
      <c r="D38" s="5" t="s">
        <v>47</v>
      </c>
      <c r="E38" s="5" t="s">
        <v>472</v>
      </c>
      <c r="F38" s="8" t="s">
        <v>107</v>
      </c>
      <c r="G38" s="5" t="n">
        <v>3</v>
      </c>
      <c r="H38" s="5" t="s">
        <v>50</v>
      </c>
      <c r="I38" s="5" t="s">
        <v>108</v>
      </c>
      <c r="J38" s="5"/>
      <c r="K38" s="5" t="s">
        <v>473</v>
      </c>
      <c r="L38" s="5" t="s">
        <v>474</v>
      </c>
      <c r="M38" s="5" t="s">
        <v>475</v>
      </c>
      <c r="N38" s="5"/>
      <c r="O38" s="5" t="s">
        <v>383</v>
      </c>
      <c r="P38" s="5" t="s">
        <v>476</v>
      </c>
      <c r="Q38" s="5"/>
      <c r="R38" s="5"/>
      <c r="S38" s="5" t="s">
        <v>58</v>
      </c>
      <c r="T38" s="5" t="s">
        <v>477</v>
      </c>
      <c r="U38" s="5" t="s">
        <v>365</v>
      </c>
      <c r="V38" s="5"/>
      <c r="W38" s="5" t="s">
        <v>366</v>
      </c>
      <c r="X38" s="5" t="n">
        <f aca="false">COUNTIF(Test_Cases!$B$2:$B$1000,A38)</f>
        <v>5</v>
      </c>
      <c r="Y38" s="5" t="str">
        <f aca="false">IF(X38=0,"NO TEST",IF(X38&lt;3,"THIN","OK"))</f>
        <v>OK</v>
      </c>
    </row>
    <row r="39" customFormat="false" ht="32.8" hidden="false" customHeight="false" outlineLevel="0" collapsed="false">
      <c r="A39" s="5" t="s">
        <v>478</v>
      </c>
      <c r="B39" s="5" t="s">
        <v>356</v>
      </c>
      <c r="C39" s="5" t="s">
        <v>479</v>
      </c>
      <c r="D39" s="5" t="s">
        <v>47</v>
      </c>
      <c r="E39" s="5" t="s">
        <v>480</v>
      </c>
      <c r="F39" s="8" t="s">
        <v>107</v>
      </c>
      <c r="G39" s="5" t="n">
        <v>3</v>
      </c>
      <c r="H39" s="5" t="s">
        <v>50</v>
      </c>
      <c r="I39" s="5" t="s">
        <v>108</v>
      </c>
      <c r="J39" s="5"/>
      <c r="K39" s="5" t="s">
        <v>473</v>
      </c>
      <c r="L39" s="5" t="s">
        <v>481</v>
      </c>
      <c r="M39" s="5" t="s">
        <v>482</v>
      </c>
      <c r="N39" s="5" t="s">
        <v>392</v>
      </c>
      <c r="O39" s="5" t="s">
        <v>383</v>
      </c>
      <c r="P39" s="5" t="s">
        <v>483</v>
      </c>
      <c r="Q39" s="5" t="s">
        <v>484</v>
      </c>
      <c r="R39" s="5"/>
      <c r="S39" s="5" t="s">
        <v>485</v>
      </c>
      <c r="T39" s="5" t="s">
        <v>486</v>
      </c>
      <c r="U39" s="5" t="s">
        <v>487</v>
      </c>
      <c r="V39" s="5" t="s">
        <v>377</v>
      </c>
      <c r="W39" s="5"/>
      <c r="X39" s="5" t="n">
        <f aca="false">COUNTIF(Test_Cases!$B$2:$B$1000,A39)</f>
        <v>7</v>
      </c>
      <c r="Y39" s="5" t="str">
        <f aca="false">IF(X39=0,"NO TEST",IF(X39&lt;3,"THIN","OK"))</f>
        <v>OK</v>
      </c>
    </row>
    <row r="40" customFormat="false" ht="32.8" hidden="false" customHeight="false" outlineLevel="0" collapsed="false">
      <c r="A40" s="5" t="s">
        <v>488</v>
      </c>
      <c r="B40" s="5" t="s">
        <v>356</v>
      </c>
      <c r="C40" s="5" t="s">
        <v>489</v>
      </c>
      <c r="D40" s="5" t="s">
        <v>47</v>
      </c>
      <c r="E40" s="5" t="s">
        <v>490</v>
      </c>
      <c r="F40" s="8" t="s">
        <v>107</v>
      </c>
      <c r="G40" s="5" t="n">
        <v>3</v>
      </c>
      <c r="H40" s="5" t="s">
        <v>50</v>
      </c>
      <c r="I40" s="5" t="s">
        <v>108</v>
      </c>
      <c r="J40" s="5"/>
      <c r="K40" s="5" t="s">
        <v>491</v>
      </c>
      <c r="L40" s="5" t="s">
        <v>492</v>
      </c>
      <c r="M40" s="5" t="s">
        <v>493</v>
      </c>
      <c r="N40" s="5" t="s">
        <v>494</v>
      </c>
      <c r="O40" s="5" t="s">
        <v>495</v>
      </c>
      <c r="P40" s="5" t="s">
        <v>496</v>
      </c>
      <c r="Q40" s="5" t="s">
        <v>497</v>
      </c>
      <c r="R40" s="5"/>
      <c r="S40" s="5" t="s">
        <v>498</v>
      </c>
      <c r="T40" s="5" t="s">
        <v>499</v>
      </c>
      <c r="U40" s="5" t="s">
        <v>500</v>
      </c>
      <c r="V40" s="5" t="s">
        <v>501</v>
      </c>
      <c r="W40" s="5" t="s">
        <v>502</v>
      </c>
      <c r="X40" s="5" t="n">
        <f aca="false">COUNTIF(Test_Cases!$B$2:$B$1000,A40)</f>
        <v>8</v>
      </c>
      <c r="Y40" s="5" t="str">
        <f aca="false">IF(X40=0,"NO TEST",IF(X40&lt;3,"THIN","OK"))</f>
        <v>OK</v>
      </c>
    </row>
    <row r="41" customFormat="false" ht="43.25" hidden="false" customHeight="false" outlineLevel="0" collapsed="false">
      <c r="A41" s="5" t="s">
        <v>503</v>
      </c>
      <c r="B41" s="5" t="s">
        <v>356</v>
      </c>
      <c r="C41" s="5" t="s">
        <v>504</v>
      </c>
      <c r="D41" s="5" t="s">
        <v>172</v>
      </c>
      <c r="E41" s="5" t="s">
        <v>505</v>
      </c>
      <c r="F41" s="6" t="s">
        <v>49</v>
      </c>
      <c r="G41" s="5" t="n">
        <v>3</v>
      </c>
      <c r="H41" s="5" t="s">
        <v>50</v>
      </c>
      <c r="I41" s="7" t="s">
        <v>51</v>
      </c>
      <c r="J41" s="5" t="s">
        <v>506</v>
      </c>
      <c r="K41" s="5" t="s">
        <v>246</v>
      </c>
      <c r="L41" s="5" t="s">
        <v>507</v>
      </c>
      <c r="M41" s="5" t="s">
        <v>152</v>
      </c>
      <c r="N41" s="5" t="s">
        <v>508</v>
      </c>
      <c r="O41" s="5" t="s">
        <v>509</v>
      </c>
      <c r="P41" s="5" t="s">
        <v>510</v>
      </c>
      <c r="Q41" s="5" t="s">
        <v>511</v>
      </c>
      <c r="R41" s="5" t="s">
        <v>512</v>
      </c>
      <c r="S41" s="5" t="s">
        <v>513</v>
      </c>
      <c r="T41" s="5" t="s">
        <v>514</v>
      </c>
      <c r="U41" s="5"/>
      <c r="V41" s="5" t="s">
        <v>468</v>
      </c>
      <c r="W41" s="5" t="s">
        <v>230</v>
      </c>
      <c r="X41" s="5" t="n">
        <f aca="false">COUNTIF(Test_Cases!$B$2:$B$1000,A41)</f>
        <v>4</v>
      </c>
      <c r="Y41" s="5" t="str">
        <f aca="false">IF(X41=0,"NO TEST",IF(X41&lt;3,"THIN","OK"))</f>
        <v>OK</v>
      </c>
    </row>
    <row r="42" customFormat="false" ht="22.35" hidden="false" customHeight="false" outlineLevel="0" collapsed="false">
      <c r="A42" s="5" t="s">
        <v>515</v>
      </c>
      <c r="B42" s="5" t="s">
        <v>516</v>
      </c>
      <c r="C42" s="5" t="s">
        <v>517</v>
      </c>
      <c r="D42" s="5" t="s">
        <v>172</v>
      </c>
      <c r="E42" s="5" t="s">
        <v>518</v>
      </c>
      <c r="F42" s="8" t="s">
        <v>107</v>
      </c>
      <c r="G42" s="5" t="n">
        <v>3</v>
      </c>
      <c r="H42" s="5" t="s">
        <v>50</v>
      </c>
      <c r="I42" s="7" t="s">
        <v>51</v>
      </c>
      <c r="J42" s="5" t="s">
        <v>519</v>
      </c>
      <c r="K42" s="5" t="s">
        <v>520</v>
      </c>
      <c r="L42" s="5" t="s">
        <v>521</v>
      </c>
      <c r="M42" s="5" t="s">
        <v>152</v>
      </c>
      <c r="N42" s="5" t="s">
        <v>522</v>
      </c>
      <c r="O42" s="5" t="s">
        <v>383</v>
      </c>
      <c r="P42" s="5" t="s">
        <v>523</v>
      </c>
      <c r="Q42" s="5" t="s">
        <v>524</v>
      </c>
      <c r="R42" s="5" t="s">
        <v>525</v>
      </c>
      <c r="S42" s="5" t="s">
        <v>526</v>
      </c>
      <c r="T42" s="5" t="s">
        <v>527</v>
      </c>
      <c r="U42" s="5"/>
      <c r="V42" s="5" t="s">
        <v>528</v>
      </c>
      <c r="W42" s="5" t="s">
        <v>529</v>
      </c>
      <c r="X42" s="5" t="n">
        <f aca="false">COUNTIF(Test_Cases!$B$2:$B$1000,A42)</f>
        <v>4</v>
      </c>
      <c r="Y42" s="5" t="str">
        <f aca="false">IF(X42=0,"NO TEST",IF(X42&lt;3,"THIN","OK"))</f>
        <v>OK</v>
      </c>
    </row>
    <row r="43" customFormat="false" ht="32.8" hidden="false" customHeight="false" outlineLevel="0" collapsed="false">
      <c r="A43" s="5" t="s">
        <v>530</v>
      </c>
      <c r="B43" s="5" t="s">
        <v>516</v>
      </c>
      <c r="C43" s="5" t="s">
        <v>531</v>
      </c>
      <c r="D43" s="5" t="s">
        <v>47</v>
      </c>
      <c r="E43" s="5" t="s">
        <v>532</v>
      </c>
      <c r="F43" s="8" t="s">
        <v>107</v>
      </c>
      <c r="G43" s="5" t="n">
        <v>3</v>
      </c>
      <c r="H43" s="5" t="s">
        <v>94</v>
      </c>
      <c r="I43" s="5" t="s">
        <v>108</v>
      </c>
      <c r="J43" s="5"/>
      <c r="K43" s="5" t="s">
        <v>520</v>
      </c>
      <c r="L43" s="5" t="s">
        <v>533</v>
      </c>
      <c r="M43" s="5" t="s">
        <v>534</v>
      </c>
      <c r="N43" s="5"/>
      <c r="O43" s="5" t="s">
        <v>535</v>
      </c>
      <c r="P43" s="5" t="s">
        <v>536</v>
      </c>
      <c r="Q43" s="5"/>
      <c r="R43" s="5"/>
      <c r="S43" s="5" t="s">
        <v>58</v>
      </c>
      <c r="T43" s="5" t="s">
        <v>537</v>
      </c>
      <c r="U43" s="5" t="s">
        <v>538</v>
      </c>
      <c r="V43" s="5" t="s">
        <v>515</v>
      </c>
      <c r="W43" s="5"/>
      <c r="X43" s="5" t="n">
        <f aca="false">COUNTIF(Test_Cases!$B$2:$B$1000,A43)</f>
        <v>6</v>
      </c>
      <c r="Y43" s="5" t="str">
        <f aca="false">IF(X43=0,"NO TEST",IF(X43&lt;3,"THIN","OK"))</f>
        <v>OK</v>
      </c>
    </row>
    <row r="44" customFormat="false" ht="32.8" hidden="false" customHeight="false" outlineLevel="0" collapsed="false">
      <c r="A44" s="5" t="s">
        <v>539</v>
      </c>
      <c r="B44" s="5" t="s">
        <v>540</v>
      </c>
      <c r="C44" s="5" t="s">
        <v>541</v>
      </c>
      <c r="D44" s="5" t="s">
        <v>125</v>
      </c>
      <c r="E44" s="5" t="s">
        <v>542</v>
      </c>
      <c r="F44" s="6" t="s">
        <v>49</v>
      </c>
      <c r="G44" s="5" t="n">
        <v>0</v>
      </c>
      <c r="H44" s="5" t="s">
        <v>94</v>
      </c>
      <c r="I44" s="5" t="s">
        <v>108</v>
      </c>
      <c r="J44" s="5"/>
      <c r="K44" s="5" t="s">
        <v>543</v>
      </c>
      <c r="L44" s="5" t="s">
        <v>544</v>
      </c>
      <c r="M44" s="5" t="s">
        <v>130</v>
      </c>
      <c r="N44" s="5" t="s">
        <v>545</v>
      </c>
      <c r="O44" s="5"/>
      <c r="P44" s="5" t="s">
        <v>99</v>
      </c>
      <c r="Q44" s="5"/>
      <c r="R44" s="5"/>
      <c r="S44" s="5" t="s">
        <v>546</v>
      </c>
      <c r="T44" s="5" t="s">
        <v>547</v>
      </c>
      <c r="U44" s="5"/>
      <c r="V44" s="5"/>
      <c r="W44" s="5" t="s">
        <v>548</v>
      </c>
      <c r="X44" s="5" t="n">
        <f aca="false">COUNTIF(Test_Cases!$B$2:$B$1000,A44)</f>
        <v>3</v>
      </c>
      <c r="Y44" s="5" t="str">
        <f aca="false">IF(X44=0,"NO TEST",IF(X44&lt;3,"THIN","OK"))</f>
        <v>OK</v>
      </c>
    </row>
    <row r="45" customFormat="false" ht="32.8" hidden="false" customHeight="false" outlineLevel="0" collapsed="false">
      <c r="A45" s="5" t="s">
        <v>377</v>
      </c>
      <c r="B45" s="5" t="s">
        <v>540</v>
      </c>
      <c r="C45" s="5" t="s">
        <v>549</v>
      </c>
      <c r="D45" s="5" t="s">
        <v>125</v>
      </c>
      <c r="E45" s="5" t="s">
        <v>550</v>
      </c>
      <c r="F45" s="6" t="s">
        <v>49</v>
      </c>
      <c r="G45" s="5" t="n">
        <v>0</v>
      </c>
      <c r="H45" s="5" t="s">
        <v>65</v>
      </c>
      <c r="I45" s="5" t="s">
        <v>108</v>
      </c>
      <c r="J45" s="5"/>
      <c r="K45" s="5" t="s">
        <v>551</v>
      </c>
      <c r="L45" s="5" t="s">
        <v>552</v>
      </c>
      <c r="M45" s="5" t="s">
        <v>130</v>
      </c>
      <c r="N45" s="5" t="s">
        <v>553</v>
      </c>
      <c r="O45" s="5" t="s">
        <v>383</v>
      </c>
      <c r="P45" s="5" t="s">
        <v>99</v>
      </c>
      <c r="Q45" s="5" t="s">
        <v>554</v>
      </c>
      <c r="R45" s="5"/>
      <c r="S45" s="5" t="s">
        <v>555</v>
      </c>
      <c r="T45" s="5" t="s">
        <v>556</v>
      </c>
      <c r="U45" s="5" t="s">
        <v>557</v>
      </c>
      <c r="V45" s="5" t="s">
        <v>558</v>
      </c>
      <c r="W45" s="5"/>
      <c r="X45" s="5" t="n">
        <f aca="false">COUNTIF(Test_Cases!$B$2:$B$1000,A45)</f>
        <v>3</v>
      </c>
      <c r="Y45" s="5" t="str">
        <f aca="false">IF(X45=0,"NO TEST",IF(X45&lt;3,"THIN","OK"))</f>
        <v>OK</v>
      </c>
    </row>
    <row r="46" customFormat="false" ht="43.25" hidden="false" customHeight="false" outlineLevel="0" collapsed="false">
      <c r="A46" s="5" t="s">
        <v>559</v>
      </c>
      <c r="B46" s="5" t="s">
        <v>540</v>
      </c>
      <c r="C46" s="5" t="s">
        <v>560</v>
      </c>
      <c r="D46" s="5" t="s">
        <v>125</v>
      </c>
      <c r="E46" s="5" t="s">
        <v>561</v>
      </c>
      <c r="F46" s="6" t="s">
        <v>49</v>
      </c>
      <c r="G46" s="5" t="n">
        <v>0</v>
      </c>
      <c r="H46" s="5" t="s">
        <v>50</v>
      </c>
      <c r="I46" s="5" t="s">
        <v>108</v>
      </c>
      <c r="J46" s="5"/>
      <c r="K46" s="5" t="s">
        <v>562</v>
      </c>
      <c r="L46" s="5" t="s">
        <v>563</v>
      </c>
      <c r="M46" s="5" t="s">
        <v>152</v>
      </c>
      <c r="N46" s="5" t="s">
        <v>564</v>
      </c>
      <c r="O46" s="5" t="s">
        <v>564</v>
      </c>
      <c r="P46" s="5" t="s">
        <v>99</v>
      </c>
      <c r="Q46" s="5"/>
      <c r="R46" s="5"/>
      <c r="S46" s="5" t="s">
        <v>565</v>
      </c>
      <c r="T46" s="5" t="s">
        <v>566</v>
      </c>
      <c r="U46" s="5" t="s">
        <v>567</v>
      </c>
      <c r="V46" s="5"/>
      <c r="W46" s="5"/>
      <c r="X46" s="5" t="n">
        <f aca="false">COUNTIF(Test_Cases!$B$2:$B$1000,A46)</f>
        <v>3</v>
      </c>
      <c r="Y46" s="5" t="str">
        <f aca="false">IF(X46=0,"NO TEST",IF(X46&lt;3,"THIN","OK"))</f>
        <v>OK</v>
      </c>
    </row>
    <row r="47" customFormat="false" ht="32.8" hidden="false" customHeight="false" outlineLevel="0" collapsed="false">
      <c r="A47" s="5" t="s">
        <v>558</v>
      </c>
      <c r="B47" s="5" t="s">
        <v>540</v>
      </c>
      <c r="C47" s="5" t="s">
        <v>568</v>
      </c>
      <c r="D47" s="5" t="s">
        <v>147</v>
      </c>
      <c r="E47" s="5" t="s">
        <v>569</v>
      </c>
      <c r="F47" s="6" t="s">
        <v>49</v>
      </c>
      <c r="G47" s="5" t="n">
        <v>0</v>
      </c>
      <c r="H47" s="5" t="s">
        <v>50</v>
      </c>
      <c r="I47" s="5" t="s">
        <v>108</v>
      </c>
      <c r="J47" s="5" t="s">
        <v>570</v>
      </c>
      <c r="K47" s="5" t="s">
        <v>571</v>
      </c>
      <c r="L47" s="5" t="s">
        <v>572</v>
      </c>
      <c r="M47" s="5" t="s">
        <v>152</v>
      </c>
      <c r="N47" s="5" t="s">
        <v>573</v>
      </c>
      <c r="O47" s="5" t="s">
        <v>573</v>
      </c>
      <c r="P47" s="5" t="s">
        <v>574</v>
      </c>
      <c r="Q47" s="5" t="s">
        <v>575</v>
      </c>
      <c r="R47" s="5"/>
      <c r="S47" s="5" t="s">
        <v>576</v>
      </c>
      <c r="T47" s="5" t="s">
        <v>577</v>
      </c>
      <c r="U47" s="5"/>
      <c r="V47" s="5"/>
      <c r="W47" s="5" t="s">
        <v>578</v>
      </c>
      <c r="X47" s="5" t="n">
        <f aca="false">COUNTIF(Test_Cases!$B$2:$B$1000,A47)</f>
        <v>4</v>
      </c>
      <c r="Y47" s="5" t="str">
        <f aca="false">IF(X47=0,"NO TEST",IF(X47&lt;3,"THIN","OK"))</f>
        <v>OK</v>
      </c>
    </row>
    <row r="48" customFormat="false" ht="32.8" hidden="false" customHeight="false" outlineLevel="0" collapsed="false">
      <c r="A48" s="5" t="s">
        <v>579</v>
      </c>
      <c r="B48" s="5" t="s">
        <v>540</v>
      </c>
      <c r="C48" s="5" t="s">
        <v>580</v>
      </c>
      <c r="D48" s="5" t="s">
        <v>147</v>
      </c>
      <c r="E48" s="5" t="s">
        <v>581</v>
      </c>
      <c r="F48" s="6" t="s">
        <v>49</v>
      </c>
      <c r="G48" s="5" t="n">
        <v>2</v>
      </c>
      <c r="H48" s="5" t="s">
        <v>65</v>
      </c>
      <c r="I48" s="5" t="s">
        <v>108</v>
      </c>
      <c r="J48" s="5"/>
      <c r="K48" s="5" t="s">
        <v>582</v>
      </c>
      <c r="L48" s="5" t="s">
        <v>583</v>
      </c>
      <c r="M48" s="5" t="s">
        <v>152</v>
      </c>
      <c r="N48" s="5" t="s">
        <v>584</v>
      </c>
      <c r="O48" s="5" t="s">
        <v>585</v>
      </c>
      <c r="P48" s="5" t="s">
        <v>586</v>
      </c>
      <c r="Q48" s="5" t="s">
        <v>587</v>
      </c>
      <c r="R48" s="5"/>
      <c r="S48" s="5" t="s">
        <v>588</v>
      </c>
      <c r="T48" s="5" t="s">
        <v>589</v>
      </c>
      <c r="U48" s="5"/>
      <c r="V48" s="5" t="s">
        <v>197</v>
      </c>
      <c r="W48" s="5" t="s">
        <v>590</v>
      </c>
      <c r="X48" s="5" t="n">
        <f aca="false">COUNTIF(Test_Cases!$B$2:$B$1000,A48)</f>
        <v>3</v>
      </c>
      <c r="Y48" s="5" t="str">
        <f aca="false">IF(X48=0,"NO TEST",IF(X48&lt;3,"THIN","OK"))</f>
        <v>OK</v>
      </c>
    </row>
    <row r="49" customFormat="false" ht="53.7" hidden="false" customHeight="false" outlineLevel="0" collapsed="false">
      <c r="A49" s="5" t="s">
        <v>591</v>
      </c>
      <c r="B49" s="5" t="s">
        <v>540</v>
      </c>
      <c r="C49" s="5" t="s">
        <v>592</v>
      </c>
      <c r="D49" s="5" t="s">
        <v>172</v>
      </c>
      <c r="E49" s="5" t="s">
        <v>593</v>
      </c>
      <c r="F49" s="8" t="s">
        <v>107</v>
      </c>
      <c r="G49" s="5" t="n">
        <v>2</v>
      </c>
      <c r="H49" s="5" t="s">
        <v>50</v>
      </c>
      <c r="I49" s="7" t="s">
        <v>51</v>
      </c>
      <c r="J49" s="5" t="s">
        <v>594</v>
      </c>
      <c r="K49" s="5" t="s">
        <v>595</v>
      </c>
      <c r="L49" s="5" t="s">
        <v>596</v>
      </c>
      <c r="M49" s="5" t="s">
        <v>152</v>
      </c>
      <c r="N49" s="5" t="s">
        <v>597</v>
      </c>
      <c r="O49" s="5" t="s">
        <v>85</v>
      </c>
      <c r="P49" s="5" t="s">
        <v>598</v>
      </c>
      <c r="Q49" s="5" t="s">
        <v>599</v>
      </c>
      <c r="R49" s="5" t="s">
        <v>600</v>
      </c>
      <c r="S49" s="5" t="s">
        <v>601</v>
      </c>
      <c r="T49" s="5" t="s">
        <v>602</v>
      </c>
      <c r="U49" s="5"/>
      <c r="V49" s="5" t="s">
        <v>256</v>
      </c>
      <c r="W49" s="5" t="s">
        <v>603</v>
      </c>
      <c r="X49" s="5" t="n">
        <f aca="false">COUNTIF(Test_Cases!$B$2:$B$1000,A49)</f>
        <v>4</v>
      </c>
      <c r="Y49" s="5" t="str">
        <f aca="false">IF(X49=0,"NO TEST",IF(X49&lt;3,"THIN","OK"))</f>
        <v>OK</v>
      </c>
    </row>
    <row r="50" customFormat="false" ht="53.7" hidden="false" customHeight="false" outlineLevel="0" collapsed="false">
      <c r="A50" s="5" t="s">
        <v>604</v>
      </c>
      <c r="B50" s="5" t="s">
        <v>356</v>
      </c>
      <c r="C50" s="5" t="s">
        <v>605</v>
      </c>
      <c r="D50" s="5" t="s">
        <v>606</v>
      </c>
      <c r="E50" s="5" t="s">
        <v>607</v>
      </c>
      <c r="F50" s="8" t="s">
        <v>107</v>
      </c>
      <c r="G50" s="5" t="n">
        <v>3</v>
      </c>
      <c r="H50" s="5" t="s">
        <v>94</v>
      </c>
      <c r="I50" s="10" t="s">
        <v>319</v>
      </c>
      <c r="J50" s="5" t="s">
        <v>608</v>
      </c>
      <c r="K50" s="5" t="s">
        <v>609</v>
      </c>
      <c r="L50" s="5" t="s">
        <v>610</v>
      </c>
      <c r="M50" s="5" t="s">
        <v>611</v>
      </c>
      <c r="N50" s="5"/>
      <c r="O50" s="5" t="s">
        <v>276</v>
      </c>
      <c r="P50" s="5" t="s">
        <v>612</v>
      </c>
      <c r="Q50" s="5"/>
      <c r="R50" s="5"/>
      <c r="S50" s="5" t="s">
        <v>58</v>
      </c>
      <c r="T50" s="5" t="s">
        <v>613</v>
      </c>
      <c r="U50" s="5" t="s">
        <v>376</v>
      </c>
      <c r="V50" s="5"/>
      <c r="W50" s="5"/>
      <c r="X50" s="5" t="n">
        <f aca="false">COUNTIF(Test_Cases!$B$2:$B$1000,A50)</f>
        <v>3</v>
      </c>
      <c r="Y50" s="5" t="str">
        <f aca="false">IF(X50=0,"NO TEST",IF(X50&lt;3,"THIN","OK"))</f>
        <v>OK</v>
      </c>
    </row>
    <row r="51" customFormat="false" ht="22.35" hidden="false" customHeight="false" outlineLevel="0" collapsed="false">
      <c r="A51" s="5" t="s">
        <v>181</v>
      </c>
      <c r="B51" s="5" t="s">
        <v>540</v>
      </c>
      <c r="C51" s="5" t="s">
        <v>614</v>
      </c>
      <c r="D51" s="5" t="s">
        <v>147</v>
      </c>
      <c r="E51" s="5" t="s">
        <v>615</v>
      </c>
      <c r="F51" s="8" t="s">
        <v>107</v>
      </c>
      <c r="G51" s="5" t="n">
        <v>0</v>
      </c>
      <c r="H51" s="5" t="s">
        <v>50</v>
      </c>
      <c r="I51" s="10" t="s">
        <v>319</v>
      </c>
      <c r="J51" s="5" t="s">
        <v>616</v>
      </c>
      <c r="K51" s="5" t="s">
        <v>617</v>
      </c>
      <c r="L51" s="5" t="s">
        <v>618</v>
      </c>
      <c r="M51" s="5" t="s">
        <v>152</v>
      </c>
      <c r="N51" s="5" t="s">
        <v>619</v>
      </c>
      <c r="O51" s="5" t="s">
        <v>619</v>
      </c>
      <c r="P51" s="5" t="s">
        <v>99</v>
      </c>
      <c r="Q51" s="5"/>
      <c r="R51" s="5"/>
      <c r="S51" s="5" t="s">
        <v>620</v>
      </c>
      <c r="T51" s="5" t="s">
        <v>621</v>
      </c>
      <c r="U51" s="5"/>
      <c r="V51" s="5"/>
      <c r="W51" s="5" t="s">
        <v>158</v>
      </c>
      <c r="X51" s="5" t="n">
        <f aca="false">COUNTIF(Test_Cases!$B$2:$B$1000,A51)</f>
        <v>3</v>
      </c>
      <c r="Y51" s="5" t="str">
        <f aca="false">IF(X51=0,"NO TEST",IF(X51&lt;3,"THIN","OK"))</f>
        <v>OK</v>
      </c>
    </row>
    <row r="52" customFormat="false" ht="22.35" hidden="false" customHeight="false" outlineLevel="0" collapsed="false">
      <c r="A52" s="5" t="s">
        <v>622</v>
      </c>
      <c r="B52" s="5" t="s">
        <v>356</v>
      </c>
      <c r="C52" s="5" t="s">
        <v>623</v>
      </c>
      <c r="D52" s="5" t="s">
        <v>147</v>
      </c>
      <c r="E52" s="5" t="s">
        <v>624</v>
      </c>
      <c r="F52" s="9" t="s">
        <v>162</v>
      </c>
      <c r="G52" s="5" t="n">
        <v>4</v>
      </c>
      <c r="H52" s="5" t="s">
        <v>94</v>
      </c>
      <c r="I52" s="10" t="s">
        <v>319</v>
      </c>
      <c r="J52" s="5" t="s">
        <v>625</v>
      </c>
      <c r="K52" s="5" t="s">
        <v>246</v>
      </c>
      <c r="L52" s="5" t="s">
        <v>626</v>
      </c>
      <c r="M52" s="5" t="s">
        <v>152</v>
      </c>
      <c r="N52" s="5" t="s">
        <v>573</v>
      </c>
      <c r="O52" s="5" t="s">
        <v>509</v>
      </c>
      <c r="P52" s="5" t="s">
        <v>627</v>
      </c>
      <c r="Q52" s="5" t="s">
        <v>628</v>
      </c>
      <c r="R52" s="5"/>
      <c r="S52" s="5" t="s">
        <v>629</v>
      </c>
      <c r="T52" s="5" t="s">
        <v>630</v>
      </c>
      <c r="U52" s="5"/>
      <c r="V52" s="5" t="s">
        <v>503</v>
      </c>
      <c r="W52" s="5" t="s">
        <v>158</v>
      </c>
      <c r="X52" s="5" t="n">
        <f aca="false">COUNTIF(Test_Cases!$B$2:$B$1000,A52)</f>
        <v>3</v>
      </c>
      <c r="Y52" s="5" t="str">
        <f aca="false">IF(X52=0,"NO TEST",IF(X52&lt;3,"THIN","OK"))</f>
        <v>OK</v>
      </c>
    </row>
    <row r="53" customFormat="false" ht="32.8" hidden="false" customHeight="false" outlineLevel="0" collapsed="false">
      <c r="A53" s="5" t="s">
        <v>60</v>
      </c>
      <c r="B53" s="5" t="s">
        <v>540</v>
      </c>
      <c r="C53" s="5" t="s">
        <v>631</v>
      </c>
      <c r="D53" s="5" t="s">
        <v>125</v>
      </c>
      <c r="E53" s="5" t="s">
        <v>632</v>
      </c>
      <c r="F53" s="8" t="s">
        <v>107</v>
      </c>
      <c r="G53" s="5" t="n">
        <v>0</v>
      </c>
      <c r="H53" s="5" t="s">
        <v>94</v>
      </c>
      <c r="I53" s="10" t="s">
        <v>319</v>
      </c>
      <c r="J53" s="5" t="s">
        <v>633</v>
      </c>
      <c r="K53" s="5" t="s">
        <v>634</v>
      </c>
      <c r="L53" s="5" t="s">
        <v>635</v>
      </c>
      <c r="M53" s="5" t="s">
        <v>130</v>
      </c>
      <c r="N53" s="5"/>
      <c r="O53" s="5" t="s">
        <v>131</v>
      </c>
      <c r="P53" s="5" t="s">
        <v>99</v>
      </c>
      <c r="Q53" s="5"/>
      <c r="R53" s="5" t="s">
        <v>636</v>
      </c>
      <c r="S53" s="5" t="s">
        <v>637</v>
      </c>
      <c r="T53" s="5" t="s">
        <v>638</v>
      </c>
      <c r="U53" s="5"/>
      <c r="V53" s="5"/>
      <c r="W53" s="5" t="s">
        <v>639</v>
      </c>
      <c r="X53" s="5" t="n">
        <f aca="false">COUNTIF(Test_Cases!$B$2:$B$1000,A53)</f>
        <v>3</v>
      </c>
      <c r="Y53" s="5" t="str">
        <f aca="false">IF(X53=0,"NO TEST",IF(X53&lt;3,"THIN","OK"))</f>
        <v>OK</v>
      </c>
    </row>
    <row r="54" customFormat="false" ht="85.05" hidden="false" customHeight="false" outlineLevel="0" collapsed="false">
      <c r="A54" s="5" t="s">
        <v>640</v>
      </c>
      <c r="B54" s="5" t="s">
        <v>641</v>
      </c>
      <c r="C54" s="5" t="s">
        <v>642</v>
      </c>
      <c r="D54" s="5" t="s">
        <v>172</v>
      </c>
      <c r="E54" s="5" t="s">
        <v>643</v>
      </c>
      <c r="F54" s="6" t="s">
        <v>49</v>
      </c>
      <c r="G54" s="5" t="n">
        <v>4</v>
      </c>
      <c r="H54" s="5" t="s">
        <v>65</v>
      </c>
      <c r="I54" s="7" t="s">
        <v>51</v>
      </c>
      <c r="J54" s="5" t="s">
        <v>644</v>
      </c>
      <c r="K54" s="5" t="s">
        <v>645</v>
      </c>
      <c r="L54" s="5" t="s">
        <v>646</v>
      </c>
      <c r="M54" s="5" t="s">
        <v>152</v>
      </c>
      <c r="N54" s="5" t="s">
        <v>647</v>
      </c>
      <c r="O54" s="5" t="s">
        <v>131</v>
      </c>
      <c r="P54" s="5" t="s">
        <v>648</v>
      </c>
      <c r="Q54" s="5" t="s">
        <v>649</v>
      </c>
      <c r="R54" s="5" t="s">
        <v>650</v>
      </c>
      <c r="S54" s="5" t="s">
        <v>651</v>
      </c>
      <c r="T54" s="5" t="s">
        <v>652</v>
      </c>
      <c r="U54" s="5"/>
      <c r="V54" s="5" t="s">
        <v>653</v>
      </c>
      <c r="W54" s="5" t="s">
        <v>654</v>
      </c>
      <c r="X54" s="5" t="n">
        <f aca="false">COUNTIF(Test_Cases!$B$2:$B$1000,A54)</f>
        <v>8</v>
      </c>
      <c r="Y54" s="5" t="str">
        <f aca="false">IF(X54=0,"NO TEST",IF(X54&lt;3,"THIN","OK"))</f>
        <v>OK</v>
      </c>
    </row>
    <row r="55" customFormat="false" ht="43.25" hidden="false" customHeight="false" outlineLevel="0" collapsed="false">
      <c r="A55" s="5" t="s">
        <v>655</v>
      </c>
      <c r="B55" s="5" t="s">
        <v>641</v>
      </c>
      <c r="C55" s="5" t="s">
        <v>656</v>
      </c>
      <c r="D55" s="5" t="s">
        <v>47</v>
      </c>
      <c r="E55" s="5" t="s">
        <v>657</v>
      </c>
      <c r="F55" s="6" t="s">
        <v>49</v>
      </c>
      <c r="G55" s="5" t="n">
        <v>4</v>
      </c>
      <c r="H55" s="5" t="s">
        <v>50</v>
      </c>
      <c r="I55" s="7" t="s">
        <v>51</v>
      </c>
      <c r="J55" s="5" t="s">
        <v>658</v>
      </c>
      <c r="K55" s="5" t="s">
        <v>659</v>
      </c>
      <c r="L55" s="5" t="s">
        <v>660</v>
      </c>
      <c r="M55" s="5" t="s">
        <v>661</v>
      </c>
      <c r="N55" s="5" t="s">
        <v>662</v>
      </c>
      <c r="O55" s="5" t="s">
        <v>662</v>
      </c>
      <c r="P55" s="5" t="s">
        <v>663</v>
      </c>
      <c r="Q55" s="5"/>
      <c r="R55" s="5"/>
      <c r="S55" s="5" t="s">
        <v>664</v>
      </c>
      <c r="T55" s="5" t="s">
        <v>665</v>
      </c>
      <c r="U55" s="5" t="s">
        <v>666</v>
      </c>
      <c r="V55" s="5" t="s">
        <v>640</v>
      </c>
      <c r="W55" s="5"/>
      <c r="X55" s="5" t="n">
        <f aca="false">COUNTIF(Test_Cases!$B$2:$B$1000,A55)</f>
        <v>8</v>
      </c>
      <c r="Y55" s="5" t="str">
        <f aca="false">IF(X55=0,"NO TEST",IF(X55&lt;3,"THIN","OK"))</f>
        <v>OK</v>
      </c>
    </row>
    <row r="56" customFormat="false" ht="43.25" hidden="false" customHeight="false" outlineLevel="0" collapsed="false">
      <c r="A56" s="5" t="s">
        <v>667</v>
      </c>
      <c r="B56" s="5" t="s">
        <v>641</v>
      </c>
      <c r="C56" s="5" t="s">
        <v>668</v>
      </c>
      <c r="D56" s="5" t="s">
        <v>47</v>
      </c>
      <c r="E56" s="5" t="s">
        <v>669</v>
      </c>
      <c r="F56" s="6" t="s">
        <v>49</v>
      </c>
      <c r="G56" s="5" t="n">
        <v>4</v>
      </c>
      <c r="H56" s="5" t="s">
        <v>50</v>
      </c>
      <c r="I56" s="7" t="s">
        <v>51</v>
      </c>
      <c r="J56" s="5" t="s">
        <v>670</v>
      </c>
      <c r="K56" s="5" t="s">
        <v>219</v>
      </c>
      <c r="L56" s="5" t="s">
        <v>671</v>
      </c>
      <c r="M56" s="5" t="s">
        <v>672</v>
      </c>
      <c r="N56" s="5" t="s">
        <v>673</v>
      </c>
      <c r="O56" s="5" t="s">
        <v>662</v>
      </c>
      <c r="P56" s="5" t="s">
        <v>674</v>
      </c>
      <c r="Q56" s="5" t="s">
        <v>675</v>
      </c>
      <c r="R56" s="5"/>
      <c r="S56" s="5" t="s">
        <v>676</v>
      </c>
      <c r="T56" s="5" t="s">
        <v>677</v>
      </c>
      <c r="U56" s="5" t="s">
        <v>678</v>
      </c>
      <c r="V56" s="5" t="s">
        <v>679</v>
      </c>
      <c r="W56" s="5" t="s">
        <v>680</v>
      </c>
      <c r="X56" s="5" t="n">
        <f aca="false">COUNTIF(Test_Cases!$B$2:$B$1000,A56)</f>
        <v>10</v>
      </c>
      <c r="Y56" s="5" t="str">
        <f aca="false">IF(X56=0,"NO TEST",IF(X56&lt;3,"THIN","OK"))</f>
        <v>OK</v>
      </c>
    </row>
    <row r="57" customFormat="false" ht="53.7" hidden="false" customHeight="false" outlineLevel="0" collapsed="false">
      <c r="A57" s="5" t="s">
        <v>681</v>
      </c>
      <c r="B57" s="5" t="s">
        <v>641</v>
      </c>
      <c r="C57" s="5" t="s">
        <v>682</v>
      </c>
      <c r="D57" s="5" t="s">
        <v>147</v>
      </c>
      <c r="E57" s="5" t="s">
        <v>450</v>
      </c>
      <c r="F57" s="6" t="s">
        <v>49</v>
      </c>
      <c r="G57" s="5" t="n">
        <v>4</v>
      </c>
      <c r="H57" s="5" t="s">
        <v>50</v>
      </c>
      <c r="I57" s="7" t="s">
        <v>51</v>
      </c>
      <c r="J57" s="5" t="s">
        <v>683</v>
      </c>
      <c r="K57" s="5" t="s">
        <v>684</v>
      </c>
      <c r="L57" s="5" t="s">
        <v>685</v>
      </c>
      <c r="M57" s="5" t="s">
        <v>152</v>
      </c>
      <c r="N57" s="5" t="s">
        <v>686</v>
      </c>
      <c r="O57" s="5" t="s">
        <v>662</v>
      </c>
      <c r="P57" s="5" t="s">
        <v>99</v>
      </c>
      <c r="Q57" s="5" t="s">
        <v>687</v>
      </c>
      <c r="R57" s="5"/>
      <c r="S57" s="5" t="s">
        <v>688</v>
      </c>
      <c r="T57" s="5" t="s">
        <v>689</v>
      </c>
      <c r="U57" s="5"/>
      <c r="V57" s="5" t="s">
        <v>690</v>
      </c>
      <c r="W57" s="5" t="s">
        <v>691</v>
      </c>
      <c r="X57" s="5" t="n">
        <f aca="false">COUNTIF(Test_Cases!$B$2:$B$1000,A57)</f>
        <v>3</v>
      </c>
      <c r="Y57" s="5" t="str">
        <f aca="false">IF(X57=0,"NO TEST",IF(X57&lt;3,"THIN","OK"))</f>
        <v>OK</v>
      </c>
    </row>
    <row r="58" customFormat="false" ht="64.15" hidden="false" customHeight="false" outlineLevel="0" collapsed="false">
      <c r="A58" s="5" t="s">
        <v>692</v>
      </c>
      <c r="B58" s="5" t="s">
        <v>641</v>
      </c>
      <c r="C58" s="5" t="s">
        <v>693</v>
      </c>
      <c r="D58" s="5" t="s">
        <v>172</v>
      </c>
      <c r="E58" s="5" t="s">
        <v>694</v>
      </c>
      <c r="F58" s="9" t="s">
        <v>162</v>
      </c>
      <c r="G58" s="5" t="n">
        <v>4</v>
      </c>
      <c r="H58" s="5" t="s">
        <v>94</v>
      </c>
      <c r="I58" s="10" t="s">
        <v>319</v>
      </c>
      <c r="J58" s="5" t="s">
        <v>695</v>
      </c>
      <c r="K58" s="5" t="s">
        <v>659</v>
      </c>
      <c r="L58" s="5" t="s">
        <v>696</v>
      </c>
      <c r="M58" s="5" t="s">
        <v>152</v>
      </c>
      <c r="N58" s="5" t="s">
        <v>619</v>
      </c>
      <c r="O58" s="5" t="s">
        <v>662</v>
      </c>
      <c r="P58" s="5" t="s">
        <v>99</v>
      </c>
      <c r="Q58" s="5"/>
      <c r="R58" s="5" t="s">
        <v>697</v>
      </c>
      <c r="S58" s="5" t="s">
        <v>698</v>
      </c>
      <c r="T58" s="5" t="s">
        <v>699</v>
      </c>
      <c r="U58" s="5"/>
      <c r="V58" s="5" t="s">
        <v>640</v>
      </c>
      <c r="W58" s="5" t="s">
        <v>700</v>
      </c>
      <c r="X58" s="5" t="n">
        <f aca="false">COUNTIF(Test_Cases!$B$2:$B$1000,A58)</f>
        <v>4</v>
      </c>
      <c r="Y58" s="5" t="str">
        <f aca="false">IF(X58=0,"NO TEST",IF(X58&lt;3,"THIN","OK"))</f>
        <v>OK</v>
      </c>
    </row>
  </sheetData>
  <autoFilter ref="A1:Y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52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38"/>
    <col collapsed="false" customWidth="true" hidden="false" outlineLevel="0" max="12" min="12" style="0" width="9"/>
    <col collapsed="false" customWidth="true" hidden="false" outlineLevel="0" max="14" min="13" style="0" width="16"/>
  </cols>
  <sheetData>
    <row r="1" customFormat="false" ht="31.5" hidden="false" customHeight="true" outlineLevel="0" collapsed="false">
      <c r="A1" s="4" t="s">
        <v>701</v>
      </c>
      <c r="B1" s="4" t="s">
        <v>20</v>
      </c>
      <c r="C1" s="4" t="s">
        <v>702</v>
      </c>
      <c r="D1" s="4" t="s">
        <v>703</v>
      </c>
      <c r="E1" s="4" t="s">
        <v>704</v>
      </c>
      <c r="F1" s="4" t="s">
        <v>705</v>
      </c>
      <c r="G1" s="4" t="s">
        <v>706</v>
      </c>
      <c r="H1" s="4" t="s">
        <v>707</v>
      </c>
      <c r="I1" s="4" t="s">
        <v>708</v>
      </c>
      <c r="J1" s="4" t="s">
        <v>709</v>
      </c>
      <c r="K1" s="4" t="s">
        <v>34</v>
      </c>
      <c r="L1" s="4" t="s">
        <v>42</v>
      </c>
      <c r="M1" s="4" t="s">
        <v>710</v>
      </c>
      <c r="N1" s="4" t="s">
        <v>711</v>
      </c>
    </row>
    <row r="2" customFormat="false" ht="22.35" hidden="false" customHeight="false" outlineLevel="0" collapsed="false">
      <c r="A2" s="5" t="s">
        <v>712</v>
      </c>
      <c r="B2" s="5" t="s">
        <v>45</v>
      </c>
      <c r="C2" s="5" t="s">
        <v>713</v>
      </c>
      <c r="D2" s="5" t="s">
        <v>150</v>
      </c>
      <c r="E2" s="5" t="s">
        <v>714</v>
      </c>
      <c r="F2" s="5" t="s">
        <v>715</v>
      </c>
      <c r="G2" s="5" t="n">
        <f aca="false">SUMPRODUCT(--ISNUMBER(SEARCH(A2,Backlog!$L$2:$L$58)))</f>
        <v>2</v>
      </c>
      <c r="H2" s="5" t="s">
        <v>716</v>
      </c>
      <c r="I2" s="5" t="s">
        <v>717</v>
      </c>
      <c r="J2" s="5" t="s">
        <v>73</v>
      </c>
      <c r="K2" s="5" t="s">
        <v>718</v>
      </c>
      <c r="L2" s="5" t="n">
        <f aca="false">SUMPRODUCT(--ISNUMBER(SEARCH(A2,Test_Cases!$D$2:$D$1000)))</f>
        <v>18</v>
      </c>
      <c r="M2" s="5" t="str">
        <f aca="false">IF(G2=0,"GAP - no function",IF(L2=0,"NO TEST",IF(L2&lt;3,"THIN","COVERED")))</f>
        <v>COVERED</v>
      </c>
      <c r="N2" s="5" t="s">
        <v>61</v>
      </c>
    </row>
    <row r="3" customFormat="false" ht="22.35" hidden="false" customHeight="false" outlineLevel="0" collapsed="false">
      <c r="A3" s="5" t="s">
        <v>719</v>
      </c>
      <c r="B3" s="5" t="s">
        <v>45</v>
      </c>
      <c r="C3" s="5" t="s">
        <v>720</v>
      </c>
      <c r="D3" s="5" t="s">
        <v>67</v>
      </c>
      <c r="E3" s="5" t="s">
        <v>714</v>
      </c>
      <c r="F3" s="5" t="s">
        <v>62</v>
      </c>
      <c r="G3" s="5" t="n">
        <f aca="false">SUMPRODUCT(--ISNUMBER(SEARCH(A3,Backlog!$L$2:$L$58)))</f>
        <v>1</v>
      </c>
      <c r="H3" s="5" t="s">
        <v>721</v>
      </c>
      <c r="I3" s="5" t="s">
        <v>717</v>
      </c>
      <c r="J3" s="5" t="s">
        <v>73</v>
      </c>
      <c r="K3" s="5" t="s">
        <v>722</v>
      </c>
      <c r="L3" s="5" t="n">
        <f aca="false">SUMPRODUCT(--ISNUMBER(SEARCH(A3,Test_Cases!$D$2:$D$1000)))</f>
        <v>14</v>
      </c>
      <c r="M3" s="5" t="str">
        <f aca="false">IF(G3=0,"GAP - no function",IF(L3=0,"NO TEST",IF(L3&lt;3,"THIN","COVERED")))</f>
        <v>COVERED</v>
      </c>
      <c r="N3" s="5" t="s">
        <v>61</v>
      </c>
    </row>
    <row r="4" customFormat="false" ht="15" hidden="false" customHeight="false" outlineLevel="0" collapsed="false">
      <c r="A4" s="5" t="s">
        <v>83</v>
      </c>
      <c r="B4" s="5" t="s">
        <v>45</v>
      </c>
      <c r="C4" s="5" t="s">
        <v>723</v>
      </c>
      <c r="D4" s="5" t="s">
        <v>82</v>
      </c>
      <c r="E4" s="5" t="s">
        <v>714</v>
      </c>
      <c r="F4" s="5" t="s">
        <v>78</v>
      </c>
      <c r="G4" s="5" t="n">
        <f aca="false">SUMPRODUCT(--ISNUMBER(SEARCH(A4,Backlog!$L$2:$L$58)))</f>
        <v>1</v>
      </c>
      <c r="H4" s="5" t="s">
        <v>724</v>
      </c>
      <c r="I4" s="5" t="s">
        <v>725</v>
      </c>
      <c r="J4" s="5" t="s">
        <v>87</v>
      </c>
      <c r="K4" s="5" t="s">
        <v>722</v>
      </c>
      <c r="L4" s="5" t="n">
        <f aca="false">SUMPRODUCT(--ISNUMBER(SEARCH(A4,Test_Cases!$D$2:$D$1000)))</f>
        <v>11</v>
      </c>
      <c r="M4" s="5" t="str">
        <f aca="false">IF(G4=0,"GAP - no function",IF(L4=0,"NO TEST",IF(L4&lt;3,"THIN","COVERED")))</f>
        <v>COVERED</v>
      </c>
      <c r="N4" s="5" t="s">
        <v>61</v>
      </c>
    </row>
    <row r="5" customFormat="false" ht="22.35" hidden="false" customHeight="false" outlineLevel="0" collapsed="false">
      <c r="A5" s="5" t="s">
        <v>97</v>
      </c>
      <c r="B5" s="5" t="s">
        <v>45</v>
      </c>
      <c r="C5" s="5" t="s">
        <v>726</v>
      </c>
      <c r="D5" s="5" t="s">
        <v>96</v>
      </c>
      <c r="E5" s="5" t="s">
        <v>714</v>
      </c>
      <c r="F5" s="5" t="s">
        <v>727</v>
      </c>
      <c r="G5" s="5" t="n">
        <f aca="false">SUMPRODUCT(--ISNUMBER(SEARCH(A5,Backlog!$L$2:$L$58)))</f>
        <v>2</v>
      </c>
      <c r="H5" s="5" t="s">
        <v>728</v>
      </c>
      <c r="I5" s="5" t="s">
        <v>725</v>
      </c>
      <c r="J5" s="5" t="s">
        <v>729</v>
      </c>
      <c r="K5" s="5"/>
      <c r="L5" s="5" t="n">
        <f aca="false">SUMPRODUCT(--ISNUMBER(SEARCH(A5,Test_Cases!$D$2:$D$1000)))</f>
        <v>9</v>
      </c>
      <c r="M5" s="5" t="str">
        <f aca="false">IF(G5=0,"GAP - no function",IF(L5=0,"NO TEST",IF(L5&lt;3,"THIN","COVERED")))</f>
        <v>COVERED</v>
      </c>
      <c r="N5" s="5"/>
    </row>
    <row r="6" customFormat="false" ht="32.8" hidden="false" customHeight="false" outlineLevel="0" collapsed="false">
      <c r="A6" s="5" t="s">
        <v>141</v>
      </c>
      <c r="B6" s="5" t="s">
        <v>45</v>
      </c>
      <c r="C6" s="5" t="s">
        <v>730</v>
      </c>
      <c r="D6" s="5" t="s">
        <v>128</v>
      </c>
      <c r="E6" s="5" t="s">
        <v>714</v>
      </c>
      <c r="F6" s="5" t="s">
        <v>731</v>
      </c>
      <c r="G6" s="5" t="n">
        <f aca="false">SUMPRODUCT(--ISNUMBER(SEARCH(A6,Backlog!$L$2:$L$58)))</f>
        <v>3</v>
      </c>
      <c r="H6" s="5" t="s">
        <v>732</v>
      </c>
      <c r="I6" s="5" t="s">
        <v>733</v>
      </c>
      <c r="J6" s="5"/>
      <c r="K6" s="5" t="s">
        <v>734</v>
      </c>
      <c r="L6" s="5" t="n">
        <f aca="false">SUMPRODUCT(--ISNUMBER(SEARCH(A6,Test_Cases!$D$2:$D$1000)))</f>
        <v>11</v>
      </c>
      <c r="M6" s="5" t="str">
        <f aca="false">IF(G6=0,"GAP - no function",IF(L6=0,"NO TEST",IF(L6&lt;3,"THIN","COVERED")))</f>
        <v>COVERED</v>
      </c>
      <c r="N6" s="5" t="s">
        <v>735</v>
      </c>
    </row>
    <row r="7" customFormat="false" ht="22.35" hidden="false" customHeight="false" outlineLevel="0" collapsed="false">
      <c r="A7" s="5" t="s">
        <v>118</v>
      </c>
      <c r="B7" s="5" t="s">
        <v>45</v>
      </c>
      <c r="C7" s="5" t="s">
        <v>736</v>
      </c>
      <c r="D7" s="5" t="s">
        <v>117</v>
      </c>
      <c r="E7" s="5" t="s">
        <v>714</v>
      </c>
      <c r="F7" s="5" t="s">
        <v>113</v>
      </c>
      <c r="G7" s="5" t="n">
        <f aca="false">SUMPRODUCT(--ISNUMBER(SEARCH(A7,Backlog!$L$2:$L$58)))</f>
        <v>1</v>
      </c>
      <c r="H7" s="5" t="s">
        <v>737</v>
      </c>
      <c r="I7" s="5" t="s">
        <v>738</v>
      </c>
      <c r="J7" s="5"/>
      <c r="K7" s="5" t="s">
        <v>739</v>
      </c>
      <c r="L7" s="5" t="n">
        <f aca="false">SUMPRODUCT(--ISNUMBER(SEARCH(A7,Test_Cases!$D$2:$D$1000)))</f>
        <v>6</v>
      </c>
      <c r="M7" s="5" t="str">
        <f aca="false">IF(G7=0,"GAP - no function",IF(L7=0,"NO TEST",IF(L7&lt;3,"THIN","COVERED")))</f>
        <v>COVERED</v>
      </c>
      <c r="N7" s="5" t="s">
        <v>61</v>
      </c>
    </row>
    <row r="8" customFormat="false" ht="22.35" hidden="false" customHeight="false" outlineLevel="0" collapsed="false">
      <c r="A8" s="5" t="s">
        <v>151</v>
      </c>
      <c r="B8" s="5" t="s">
        <v>45</v>
      </c>
      <c r="C8" s="5" t="s">
        <v>740</v>
      </c>
      <c r="D8" s="5" t="s">
        <v>150</v>
      </c>
      <c r="E8" s="5" t="s">
        <v>741</v>
      </c>
      <c r="F8" s="5" t="s">
        <v>145</v>
      </c>
      <c r="G8" s="5" t="n">
        <f aca="false">SUMPRODUCT(--ISNUMBER(SEARCH(A8,Backlog!$L$2:$L$58)))</f>
        <v>1</v>
      </c>
      <c r="H8" s="5" t="s">
        <v>742</v>
      </c>
      <c r="I8" s="5" t="s">
        <v>743</v>
      </c>
      <c r="J8" s="5" t="s">
        <v>154</v>
      </c>
      <c r="K8" s="5"/>
      <c r="L8" s="5" t="n">
        <f aca="false">SUMPRODUCT(--ISNUMBER(SEARCH(A8,Test_Cases!$D$2:$D$1000)))</f>
        <v>3</v>
      </c>
      <c r="M8" s="5" t="str">
        <f aca="false">IF(G8=0,"GAP - no function",IF(L8=0,"NO TEST",IF(L8&lt;3,"THIN","COVERED")))</f>
        <v>COVERED</v>
      </c>
      <c r="N8" s="5" t="s">
        <v>158</v>
      </c>
    </row>
    <row r="9" customFormat="false" ht="22.35" hidden="false" customHeight="false" outlineLevel="0" collapsed="false">
      <c r="A9" s="5" t="s">
        <v>744</v>
      </c>
      <c r="B9" s="5" t="s">
        <v>45</v>
      </c>
      <c r="C9" s="5" t="s">
        <v>745</v>
      </c>
      <c r="D9" s="5" t="s">
        <v>96</v>
      </c>
      <c r="E9" s="5" t="s">
        <v>741</v>
      </c>
      <c r="F9" s="5" t="s">
        <v>170</v>
      </c>
      <c r="G9" s="5" t="n">
        <f aca="false">SUMPRODUCT(--ISNUMBER(SEARCH(A9,Backlog!$L$2:$L$58)))</f>
        <v>1</v>
      </c>
      <c r="H9" s="5" t="s">
        <v>746</v>
      </c>
      <c r="I9" s="5" t="s">
        <v>747</v>
      </c>
      <c r="J9" s="5" t="s">
        <v>178</v>
      </c>
      <c r="K9" s="5" t="s">
        <v>177</v>
      </c>
      <c r="L9" s="5" t="n">
        <f aca="false">SUMPRODUCT(--ISNUMBER(SEARCH(A9,Test_Cases!$D$2:$D$1000)))</f>
        <v>4</v>
      </c>
      <c r="M9" s="5" t="str">
        <f aca="false">IF(G9=0,"GAP - no function",IF(L9=0,"NO TEST",IF(L9&lt;3,"THIN","COVERED")))</f>
        <v>COVERED</v>
      </c>
      <c r="N9" s="5"/>
    </row>
    <row r="10" customFormat="false" ht="15" hidden="false" customHeight="false" outlineLevel="0" collapsed="false">
      <c r="A10" s="5" t="s">
        <v>164</v>
      </c>
      <c r="B10" s="5" t="s">
        <v>45</v>
      </c>
      <c r="C10" s="5" t="s">
        <v>748</v>
      </c>
      <c r="D10" s="5" t="s">
        <v>150</v>
      </c>
      <c r="E10" s="5" t="s">
        <v>749</v>
      </c>
      <c r="F10" s="5" t="s">
        <v>159</v>
      </c>
      <c r="G10" s="5" t="n">
        <f aca="false">SUMPRODUCT(--ISNUMBER(SEARCH(A10,Backlog!$L$2:$L$58)))</f>
        <v>1</v>
      </c>
      <c r="H10" s="5" t="s">
        <v>750</v>
      </c>
      <c r="I10" s="5" t="s">
        <v>751</v>
      </c>
      <c r="J10" s="5" t="s">
        <v>166</v>
      </c>
      <c r="K10" s="5" t="s">
        <v>165</v>
      </c>
      <c r="L10" s="5" t="n">
        <f aca="false">SUMPRODUCT(--ISNUMBER(SEARCH(A10,Test_Cases!$D$2:$D$1000)))</f>
        <v>6</v>
      </c>
      <c r="M10" s="5" t="str">
        <f aca="false">IF(G10=0,"GAP - no function",IF(L10=0,"NO TEST",IF(L10&lt;3,"THIN","COVERED")))</f>
        <v>COVERED</v>
      </c>
      <c r="N10" s="5" t="s">
        <v>169</v>
      </c>
    </row>
    <row r="11" customFormat="false" ht="53.7" hidden="false" customHeight="false" outlineLevel="0" collapsed="false">
      <c r="A11" s="5" t="s">
        <v>752</v>
      </c>
      <c r="B11" s="5" t="s">
        <v>183</v>
      </c>
      <c r="C11" s="5" t="s">
        <v>753</v>
      </c>
      <c r="D11" s="5" t="s">
        <v>754</v>
      </c>
      <c r="E11" s="5" t="s">
        <v>714</v>
      </c>
      <c r="F11" s="5" t="s">
        <v>755</v>
      </c>
      <c r="G11" s="5" t="n">
        <f aca="false">SUMPRODUCT(--ISNUMBER(SEARCH(A11,Backlog!$L$2:$L$58)))</f>
        <v>2</v>
      </c>
      <c r="H11" s="5" t="s">
        <v>756</v>
      </c>
      <c r="I11" s="5" t="s">
        <v>757</v>
      </c>
      <c r="J11" s="5" t="s">
        <v>758</v>
      </c>
      <c r="K11" s="5" t="s">
        <v>759</v>
      </c>
      <c r="L11" s="5" t="n">
        <f aca="false">SUMPRODUCT(--ISNUMBER(SEARCH(A11,Test_Cases!$D$2:$D$1000)))</f>
        <v>22</v>
      </c>
      <c r="M11" s="5" t="str">
        <f aca="false">IF(G11=0,"GAP - no function",IF(L11=0,"NO TEST",IF(L11&lt;3,"THIN","COVERED")))</f>
        <v>COVERED</v>
      </c>
      <c r="N11" s="5" t="s">
        <v>760</v>
      </c>
    </row>
    <row r="12" customFormat="false" ht="53.7" hidden="false" customHeight="false" outlineLevel="0" collapsed="false">
      <c r="A12" s="5" t="s">
        <v>761</v>
      </c>
      <c r="B12" s="5" t="s">
        <v>183</v>
      </c>
      <c r="C12" s="5" t="s">
        <v>762</v>
      </c>
      <c r="D12" s="5" t="s">
        <v>754</v>
      </c>
      <c r="E12" s="5" t="s">
        <v>714</v>
      </c>
      <c r="F12" s="5" t="s">
        <v>197</v>
      </c>
      <c r="G12" s="5" t="n">
        <f aca="false">SUMPRODUCT(--ISNUMBER(SEARCH(A12,Backlog!$L$2:$L$58)))</f>
        <v>1</v>
      </c>
      <c r="H12" s="5" t="s">
        <v>763</v>
      </c>
      <c r="I12" s="5" t="s">
        <v>764</v>
      </c>
      <c r="J12" s="5" t="s">
        <v>758</v>
      </c>
      <c r="K12" s="5" t="s">
        <v>722</v>
      </c>
      <c r="L12" s="5" t="n">
        <f aca="false">SUMPRODUCT(--ISNUMBER(SEARCH(A12,Test_Cases!$D$2:$D$1000)))</f>
        <v>15</v>
      </c>
      <c r="M12" s="5" t="str">
        <f aca="false">IF(G12=0,"GAP - no function",IF(L12=0,"NO TEST",IF(L12&lt;3,"THIN","COVERED")))</f>
        <v>COVERED</v>
      </c>
      <c r="N12" s="5" t="s">
        <v>214</v>
      </c>
    </row>
    <row r="13" customFormat="false" ht="53.7" hidden="false" customHeight="false" outlineLevel="0" collapsed="false">
      <c r="A13" s="5" t="s">
        <v>765</v>
      </c>
      <c r="B13" s="5" t="s">
        <v>183</v>
      </c>
      <c r="C13" s="5" t="s">
        <v>766</v>
      </c>
      <c r="D13" s="5" t="s">
        <v>128</v>
      </c>
      <c r="E13" s="5" t="s">
        <v>714</v>
      </c>
      <c r="F13" s="5" t="s">
        <v>767</v>
      </c>
      <c r="G13" s="5" t="n">
        <f aca="false">SUMPRODUCT(--ISNUMBER(SEARCH(A13,Backlog!$L$2:$L$58)))</f>
        <v>3</v>
      </c>
      <c r="H13" s="5" t="s">
        <v>768</v>
      </c>
      <c r="I13" s="5" t="s">
        <v>757</v>
      </c>
      <c r="J13" s="5" t="s">
        <v>758</v>
      </c>
      <c r="K13" s="5" t="s">
        <v>769</v>
      </c>
      <c r="L13" s="5" t="n">
        <f aca="false">SUMPRODUCT(--ISNUMBER(SEARCH(A13,Test_Cases!$D$2:$D$1000)))</f>
        <v>25</v>
      </c>
      <c r="M13" s="5" t="str">
        <f aca="false">IF(G13=0,"GAP - no function",IF(L13=0,"NO TEST",IF(L13&lt;3,"THIN","COVERED")))</f>
        <v>COVERED</v>
      </c>
      <c r="N13" s="5" t="s">
        <v>770</v>
      </c>
    </row>
    <row r="14" customFormat="false" ht="22.35" hidden="false" customHeight="false" outlineLevel="0" collapsed="false">
      <c r="A14" s="5" t="s">
        <v>771</v>
      </c>
      <c r="B14" s="5" t="s">
        <v>183</v>
      </c>
      <c r="C14" s="5" t="s">
        <v>772</v>
      </c>
      <c r="D14" s="5" t="s">
        <v>754</v>
      </c>
      <c r="E14" s="5" t="s">
        <v>714</v>
      </c>
      <c r="F14" s="5" t="s">
        <v>182</v>
      </c>
      <c r="G14" s="5" t="n">
        <f aca="false">SUMPRODUCT(--ISNUMBER(SEARCH(A14,Backlog!$L$2:$L$58)))</f>
        <v>1</v>
      </c>
      <c r="H14" s="5" t="s">
        <v>773</v>
      </c>
      <c r="I14" s="5" t="s">
        <v>774</v>
      </c>
      <c r="J14" s="5"/>
      <c r="K14" s="5" t="s">
        <v>775</v>
      </c>
      <c r="L14" s="5" t="n">
        <f aca="false">SUMPRODUCT(--ISNUMBER(SEARCH(A14,Test_Cases!$D$2:$D$1000)))</f>
        <v>6</v>
      </c>
      <c r="M14" s="5" t="str">
        <f aca="false">IF(G14=0,"GAP - no function",IF(L14=0,"NO TEST",IF(L14&lt;3,"THIN","COVERED")))</f>
        <v>COVERED</v>
      </c>
      <c r="N14" s="5" t="s">
        <v>196</v>
      </c>
    </row>
    <row r="15" customFormat="false" ht="53.7" hidden="false" customHeight="false" outlineLevel="0" collapsed="false">
      <c r="A15" s="5" t="s">
        <v>776</v>
      </c>
      <c r="B15" s="5" t="s">
        <v>183</v>
      </c>
      <c r="C15" s="5" t="s">
        <v>777</v>
      </c>
      <c r="D15" s="5" t="s">
        <v>543</v>
      </c>
      <c r="E15" s="5" t="s">
        <v>714</v>
      </c>
      <c r="F15" s="5" t="s">
        <v>197</v>
      </c>
      <c r="G15" s="5" t="n">
        <f aca="false">SUMPRODUCT(--ISNUMBER(SEARCH(A15,Backlog!$L$2:$L$58)))</f>
        <v>1</v>
      </c>
      <c r="H15" s="5" t="s">
        <v>763</v>
      </c>
      <c r="I15" s="5" t="s">
        <v>764</v>
      </c>
      <c r="J15" s="5" t="s">
        <v>758</v>
      </c>
      <c r="K15" s="5" t="s">
        <v>722</v>
      </c>
      <c r="L15" s="5" t="n">
        <f aca="false">SUMPRODUCT(--ISNUMBER(SEARCH(A15,Test_Cases!$D$2:$D$1000)))</f>
        <v>16</v>
      </c>
      <c r="M15" s="5" t="str">
        <f aca="false">IF(G15=0,"GAP - no function",IF(L15=0,"NO TEST",IF(L15&lt;3,"THIN","COVERED")))</f>
        <v>COVERED</v>
      </c>
      <c r="N15" s="5" t="s">
        <v>214</v>
      </c>
    </row>
    <row r="16" customFormat="false" ht="53.7" hidden="false" customHeight="false" outlineLevel="0" collapsed="false">
      <c r="A16" s="5" t="s">
        <v>778</v>
      </c>
      <c r="B16" s="5" t="s">
        <v>183</v>
      </c>
      <c r="C16" s="5" t="s">
        <v>779</v>
      </c>
      <c r="D16" s="5" t="s">
        <v>582</v>
      </c>
      <c r="E16" s="5" t="s">
        <v>714</v>
      </c>
      <c r="F16" s="5" t="s">
        <v>197</v>
      </c>
      <c r="G16" s="5" t="n">
        <f aca="false">SUMPRODUCT(--ISNUMBER(SEARCH(A16,Backlog!$L$2:$L$58)))</f>
        <v>1</v>
      </c>
      <c r="H16" s="5" t="s">
        <v>763</v>
      </c>
      <c r="I16" s="5" t="s">
        <v>764</v>
      </c>
      <c r="J16" s="5" t="s">
        <v>758</v>
      </c>
      <c r="K16" s="5" t="s">
        <v>722</v>
      </c>
      <c r="L16" s="5" t="n">
        <f aca="false">SUMPRODUCT(--ISNUMBER(SEARCH(A16,Test_Cases!$D$2:$D$1000)))</f>
        <v>15</v>
      </c>
      <c r="M16" s="5" t="str">
        <f aca="false">IF(G16=0,"GAP - no function",IF(L16=0,"NO TEST",IF(L16&lt;3,"THIN","COVERED")))</f>
        <v>COVERED</v>
      </c>
      <c r="N16" s="5" t="s">
        <v>214</v>
      </c>
    </row>
    <row r="17" customFormat="false" ht="53.7" hidden="false" customHeight="false" outlineLevel="0" collapsed="false">
      <c r="A17" s="5" t="s">
        <v>780</v>
      </c>
      <c r="B17" s="5" t="s">
        <v>183</v>
      </c>
      <c r="C17" s="5" t="s">
        <v>781</v>
      </c>
      <c r="D17" s="5" t="s">
        <v>754</v>
      </c>
      <c r="E17" s="5" t="s">
        <v>714</v>
      </c>
      <c r="F17" s="5" t="s">
        <v>197</v>
      </c>
      <c r="G17" s="5" t="n">
        <f aca="false">SUMPRODUCT(--ISNUMBER(SEARCH(A17,Backlog!$L$2:$L$58)))</f>
        <v>1</v>
      </c>
      <c r="H17" s="5" t="s">
        <v>763</v>
      </c>
      <c r="I17" s="5" t="s">
        <v>764</v>
      </c>
      <c r="J17" s="5" t="s">
        <v>758</v>
      </c>
      <c r="K17" s="5" t="s">
        <v>722</v>
      </c>
      <c r="L17" s="5" t="n">
        <f aca="false">SUMPRODUCT(--ISNUMBER(SEARCH(A17,Test_Cases!$D$2:$D$1000)))</f>
        <v>16</v>
      </c>
      <c r="M17" s="5" t="str">
        <f aca="false">IF(G17=0,"GAP - no function",IF(L17=0,"NO TEST",IF(L17&lt;3,"THIN","COVERED")))</f>
        <v>COVERED</v>
      </c>
      <c r="N17" s="5" t="s">
        <v>214</v>
      </c>
    </row>
    <row r="18" customFormat="false" ht="43.25" hidden="false" customHeight="false" outlineLevel="0" collapsed="false">
      <c r="A18" s="5" t="s">
        <v>261</v>
      </c>
      <c r="B18" s="5" t="s">
        <v>183</v>
      </c>
      <c r="C18" s="5" t="s">
        <v>782</v>
      </c>
      <c r="D18" s="5" t="s">
        <v>260</v>
      </c>
      <c r="E18" s="5" t="s">
        <v>714</v>
      </c>
      <c r="F18" s="5" t="s">
        <v>783</v>
      </c>
      <c r="G18" s="5" t="n">
        <f aca="false">SUMPRODUCT(--ISNUMBER(SEARCH(A18,Backlog!$L$2:$L$58)))</f>
        <v>2</v>
      </c>
      <c r="H18" s="5" t="s">
        <v>784</v>
      </c>
      <c r="I18" s="5" t="s">
        <v>785</v>
      </c>
      <c r="J18" s="5" t="s">
        <v>786</v>
      </c>
      <c r="K18" s="5" t="s">
        <v>787</v>
      </c>
      <c r="L18" s="5" t="n">
        <f aca="false">SUMPRODUCT(--ISNUMBER(SEARCH(A18,Test_Cases!$D$2:$D$1000)))</f>
        <v>8</v>
      </c>
      <c r="M18" s="5" t="str">
        <f aca="false">IF(G18=0,"GAP - no function",IF(L18=0,"NO TEST",IF(L18&lt;3,"THIN","COVERED")))</f>
        <v>COVERED</v>
      </c>
      <c r="N18" s="5" t="s">
        <v>788</v>
      </c>
    </row>
    <row r="19" customFormat="false" ht="15" hidden="false" customHeight="false" outlineLevel="0" collapsed="false">
      <c r="A19" s="5" t="s">
        <v>236</v>
      </c>
      <c r="B19" s="5" t="s">
        <v>183</v>
      </c>
      <c r="C19" s="5" t="s">
        <v>789</v>
      </c>
      <c r="D19" s="5" t="s">
        <v>790</v>
      </c>
      <c r="E19" s="5" t="s">
        <v>714</v>
      </c>
      <c r="F19" s="5" t="s">
        <v>231</v>
      </c>
      <c r="G19" s="5" t="n">
        <f aca="false">SUMPRODUCT(--ISNUMBER(SEARCH(A19,Backlog!$L$2:$L$58)))</f>
        <v>1</v>
      </c>
      <c r="H19" s="5" t="s">
        <v>791</v>
      </c>
      <c r="I19" s="5" t="s">
        <v>238</v>
      </c>
      <c r="J19" s="5"/>
      <c r="K19" s="5"/>
      <c r="L19" s="5" t="n">
        <f aca="false">SUMPRODUCT(--ISNUMBER(SEARCH(A19,Test_Cases!$D$2:$D$1000)))</f>
        <v>4</v>
      </c>
      <c r="M19" s="5" t="str">
        <f aca="false">IF(G19=0,"GAP - no function",IF(L19=0,"NO TEST",IF(L19&lt;3,"THIN","COVERED")))</f>
        <v>COVERED</v>
      </c>
      <c r="N19" s="5"/>
    </row>
    <row r="20" customFormat="false" ht="32.8" hidden="false" customHeight="false" outlineLevel="0" collapsed="false">
      <c r="A20" s="5" t="s">
        <v>792</v>
      </c>
      <c r="B20" s="5" t="s">
        <v>183</v>
      </c>
      <c r="C20" s="5" t="s">
        <v>793</v>
      </c>
      <c r="D20" s="5" t="s">
        <v>246</v>
      </c>
      <c r="E20" s="5" t="s">
        <v>741</v>
      </c>
      <c r="F20" s="5" t="s">
        <v>242</v>
      </c>
      <c r="G20" s="5" t="n">
        <f aca="false">SUMPRODUCT(--ISNUMBER(SEARCH(A20,Backlog!$L$2:$L$58)))</f>
        <v>1</v>
      </c>
      <c r="H20" s="5" t="s">
        <v>794</v>
      </c>
      <c r="I20" s="5" t="s">
        <v>795</v>
      </c>
      <c r="J20" s="5" t="s">
        <v>796</v>
      </c>
      <c r="K20" s="5" t="s">
        <v>797</v>
      </c>
      <c r="L20" s="5" t="n">
        <f aca="false">SUMPRODUCT(--ISNUMBER(SEARCH(A20,Test_Cases!$D$2:$D$1000)))</f>
        <v>7</v>
      </c>
      <c r="M20" s="5" t="str">
        <f aca="false">IF(G20=0,"GAP - no function",IF(L20=0,"NO TEST",IF(L20&lt;3,"THIN","COVERED")))</f>
        <v>COVERED</v>
      </c>
      <c r="N20" s="5" t="s">
        <v>230</v>
      </c>
    </row>
    <row r="21" customFormat="false" ht="22.35" hidden="false" customHeight="false" outlineLevel="0" collapsed="false">
      <c r="A21" s="5" t="s">
        <v>220</v>
      </c>
      <c r="B21" s="5" t="s">
        <v>268</v>
      </c>
      <c r="C21" s="5" t="s">
        <v>798</v>
      </c>
      <c r="D21" s="5" t="s">
        <v>219</v>
      </c>
      <c r="E21" s="5" t="s">
        <v>714</v>
      </c>
      <c r="F21" s="5" t="s">
        <v>799</v>
      </c>
      <c r="G21" s="5" t="n">
        <f aca="false">SUMPRODUCT(--ISNUMBER(SEARCH(A21,Backlog!$L$2:$L$58)))</f>
        <v>2</v>
      </c>
      <c r="H21" s="5" t="s">
        <v>800</v>
      </c>
      <c r="I21" s="5" t="s">
        <v>801</v>
      </c>
      <c r="J21" s="5" t="s">
        <v>802</v>
      </c>
      <c r="K21" s="5" t="s">
        <v>803</v>
      </c>
      <c r="L21" s="5" t="n">
        <f aca="false">SUMPRODUCT(--ISNUMBER(SEARCH(A21,Test_Cases!$D$2:$D$1000)))</f>
        <v>22</v>
      </c>
      <c r="M21" s="5" t="str">
        <f aca="false">IF(G21=0,"GAP - no function",IF(L21=0,"NO TEST",IF(L21&lt;3,"THIN","COVERED")))</f>
        <v>COVERED</v>
      </c>
      <c r="N21" s="5" t="s">
        <v>680</v>
      </c>
    </row>
    <row r="22" customFormat="false" ht="53.7" hidden="false" customHeight="false" outlineLevel="0" collapsed="false">
      <c r="A22" s="5" t="s">
        <v>804</v>
      </c>
      <c r="B22" s="5" t="s">
        <v>268</v>
      </c>
      <c r="C22" s="5" t="s">
        <v>805</v>
      </c>
      <c r="D22" s="5" t="s">
        <v>806</v>
      </c>
      <c r="E22" s="5" t="s">
        <v>714</v>
      </c>
      <c r="F22" s="5" t="s">
        <v>267</v>
      </c>
      <c r="G22" s="5" t="n">
        <f aca="false">SUMPRODUCT(--ISNUMBER(SEARCH(A22,Backlog!$L$2:$L$58)))</f>
        <v>1</v>
      </c>
      <c r="H22" s="5" t="s">
        <v>807</v>
      </c>
      <c r="I22" s="5" t="s">
        <v>808</v>
      </c>
      <c r="J22" s="5" t="s">
        <v>809</v>
      </c>
      <c r="K22" s="5" t="s">
        <v>510</v>
      </c>
      <c r="L22" s="5" t="n">
        <f aca="false">SUMPRODUCT(--ISNUMBER(SEARCH(A22,Test_Cases!$D$2:$D$1000)))</f>
        <v>5</v>
      </c>
      <c r="M22" s="5" t="str">
        <f aca="false">IF(G22=0,"GAP - no function",IF(L22=0,"NO TEST",IF(L22&lt;3,"THIN","COVERED")))</f>
        <v>COVERED</v>
      </c>
      <c r="N22" s="5" t="s">
        <v>230</v>
      </c>
    </row>
    <row r="23" customFormat="false" ht="53.7" hidden="false" customHeight="false" outlineLevel="0" collapsed="false">
      <c r="A23" s="5" t="s">
        <v>810</v>
      </c>
      <c r="B23" s="5" t="s">
        <v>268</v>
      </c>
      <c r="C23" s="5" t="s">
        <v>811</v>
      </c>
      <c r="D23" s="5" t="s">
        <v>582</v>
      </c>
      <c r="E23" s="5" t="s">
        <v>714</v>
      </c>
      <c r="F23" s="5" t="s">
        <v>267</v>
      </c>
      <c r="G23" s="5" t="n">
        <f aca="false">SUMPRODUCT(--ISNUMBER(SEARCH(A23,Backlog!$L$2:$L$58)))</f>
        <v>1</v>
      </c>
      <c r="H23" s="5" t="s">
        <v>807</v>
      </c>
      <c r="I23" s="5" t="s">
        <v>808</v>
      </c>
      <c r="J23" s="5" t="s">
        <v>809</v>
      </c>
      <c r="K23" s="5" t="s">
        <v>510</v>
      </c>
      <c r="L23" s="5" t="n">
        <f aca="false">SUMPRODUCT(--ISNUMBER(SEARCH(A23,Test_Cases!$D$2:$D$1000)))</f>
        <v>4</v>
      </c>
      <c r="M23" s="5" t="str">
        <f aca="false">IF(G23=0,"GAP - no function",IF(L23=0,"NO TEST",IF(L23&lt;3,"THIN","COVERED")))</f>
        <v>COVERED</v>
      </c>
      <c r="N23" s="5" t="s">
        <v>230</v>
      </c>
    </row>
    <row r="24" customFormat="false" ht="53.7" hidden="false" customHeight="false" outlineLevel="0" collapsed="false">
      <c r="A24" s="5" t="s">
        <v>812</v>
      </c>
      <c r="B24" s="5" t="s">
        <v>268</v>
      </c>
      <c r="C24" s="5" t="s">
        <v>813</v>
      </c>
      <c r="D24" s="5" t="s">
        <v>582</v>
      </c>
      <c r="E24" s="5" t="s">
        <v>714</v>
      </c>
      <c r="F24" s="5" t="s">
        <v>267</v>
      </c>
      <c r="G24" s="5" t="n">
        <f aca="false">SUMPRODUCT(--ISNUMBER(SEARCH(A24,Backlog!$L$2:$L$58)))</f>
        <v>1</v>
      </c>
      <c r="H24" s="5" t="s">
        <v>807</v>
      </c>
      <c r="I24" s="5" t="s">
        <v>808</v>
      </c>
      <c r="J24" s="5" t="s">
        <v>809</v>
      </c>
      <c r="K24" s="5" t="s">
        <v>510</v>
      </c>
      <c r="L24" s="5" t="n">
        <f aca="false">SUMPRODUCT(--ISNUMBER(SEARCH(A24,Test_Cases!$D$2:$D$1000)))</f>
        <v>5</v>
      </c>
      <c r="M24" s="5" t="str">
        <f aca="false">IF(G24=0,"GAP - no function",IF(L24=0,"NO TEST",IF(L24&lt;3,"THIN","COVERED")))</f>
        <v>COVERED</v>
      </c>
      <c r="N24" s="5" t="s">
        <v>230</v>
      </c>
    </row>
    <row r="25" customFormat="false" ht="22.35" hidden="false" customHeight="false" outlineLevel="0" collapsed="false">
      <c r="A25" s="5" t="s">
        <v>814</v>
      </c>
      <c r="B25" s="5" t="s">
        <v>268</v>
      </c>
      <c r="C25" s="5" t="s">
        <v>815</v>
      </c>
      <c r="D25" s="5" t="s">
        <v>219</v>
      </c>
      <c r="E25" s="5" t="s">
        <v>714</v>
      </c>
      <c r="F25" s="5" t="s">
        <v>816</v>
      </c>
      <c r="G25" s="5" t="n">
        <f aca="false">SUMPRODUCT(--ISNUMBER(SEARCH(A25,Backlog!$L$2:$L$58)))</f>
        <v>2</v>
      </c>
      <c r="H25" s="5" t="s">
        <v>817</v>
      </c>
      <c r="I25" s="5" t="s">
        <v>673</v>
      </c>
      <c r="J25" s="5" t="s">
        <v>675</v>
      </c>
      <c r="K25" s="5" t="s">
        <v>818</v>
      </c>
      <c r="L25" s="5" t="n">
        <f aca="false">SUMPRODUCT(--ISNUMBER(SEARCH(A25,Test_Cases!$D$2:$D$1000)))</f>
        <v>18</v>
      </c>
      <c r="M25" s="5" t="str">
        <f aca="false">IF(G25=0,"GAP - no function",IF(L25=0,"NO TEST",IF(L25&lt;3,"THIN","COVERED")))</f>
        <v>COVERED</v>
      </c>
      <c r="N25" s="5" t="s">
        <v>680</v>
      </c>
    </row>
    <row r="26" customFormat="false" ht="53.7" hidden="false" customHeight="false" outlineLevel="0" collapsed="false">
      <c r="A26" s="5" t="s">
        <v>819</v>
      </c>
      <c r="B26" s="5" t="s">
        <v>356</v>
      </c>
      <c r="C26" s="5" t="s">
        <v>820</v>
      </c>
      <c r="D26" s="5" t="s">
        <v>543</v>
      </c>
      <c r="E26" s="5" t="s">
        <v>714</v>
      </c>
      <c r="F26" s="5" t="s">
        <v>821</v>
      </c>
      <c r="G26" s="5" t="n">
        <f aca="false">SUMPRODUCT(--ISNUMBER(SEARCH(A26,Backlog!$L$2:$L$58)))</f>
        <v>3</v>
      </c>
      <c r="H26" s="5" t="s">
        <v>822</v>
      </c>
      <c r="I26" s="5" t="s">
        <v>823</v>
      </c>
      <c r="J26" s="5" t="s">
        <v>824</v>
      </c>
      <c r="K26" s="5" t="s">
        <v>825</v>
      </c>
      <c r="L26" s="5" t="n">
        <f aca="false">SUMPRODUCT(--ISNUMBER(SEARCH(A26,Test_Cases!$D$2:$D$1000)))</f>
        <v>22</v>
      </c>
      <c r="M26" s="5" t="str">
        <f aca="false">IF(G26=0,"GAP - no function",IF(L26=0,"NO TEST",IF(L26&lt;3,"THIN","COVERED")))</f>
        <v>COVERED</v>
      </c>
      <c r="N26" s="5" t="s">
        <v>826</v>
      </c>
    </row>
    <row r="27" customFormat="false" ht="15" hidden="false" customHeight="false" outlineLevel="0" collapsed="false">
      <c r="A27" s="5" t="s">
        <v>827</v>
      </c>
      <c r="B27" s="5" t="s">
        <v>356</v>
      </c>
      <c r="C27" s="5" t="s">
        <v>828</v>
      </c>
      <c r="D27" s="5" t="s">
        <v>359</v>
      </c>
      <c r="E27" s="5" t="s">
        <v>714</v>
      </c>
      <c r="F27" s="5" t="s">
        <v>355</v>
      </c>
      <c r="G27" s="5" t="n">
        <f aca="false">SUMPRODUCT(--ISNUMBER(SEARCH(A27,Backlog!$L$2:$L$58)))</f>
        <v>1</v>
      </c>
      <c r="H27" s="5" t="s">
        <v>829</v>
      </c>
      <c r="I27" s="5" t="s">
        <v>830</v>
      </c>
      <c r="J27" s="5"/>
      <c r="K27" s="5" t="s">
        <v>831</v>
      </c>
      <c r="L27" s="5" t="n">
        <f aca="false">SUMPRODUCT(--ISNUMBER(SEARCH(A27,Test_Cases!$D$2:$D$1000)))</f>
        <v>5</v>
      </c>
      <c r="M27" s="5" t="str">
        <f aca="false">IF(G27=0,"GAP - no function",IF(L27=0,"NO TEST",IF(L27&lt;3,"THIN","COVERED")))</f>
        <v>COVERED</v>
      </c>
      <c r="N27" s="5" t="s">
        <v>366</v>
      </c>
    </row>
    <row r="28" customFormat="false" ht="22.35" hidden="false" customHeight="false" outlineLevel="0" collapsed="false">
      <c r="A28" s="5" t="s">
        <v>371</v>
      </c>
      <c r="B28" s="5" t="s">
        <v>356</v>
      </c>
      <c r="C28" s="5" t="s">
        <v>832</v>
      </c>
      <c r="D28" s="5" t="s">
        <v>370</v>
      </c>
      <c r="E28" s="5" t="s">
        <v>714</v>
      </c>
      <c r="F28" s="5" t="s">
        <v>367</v>
      </c>
      <c r="G28" s="5" t="n">
        <f aca="false">SUMPRODUCT(--ISNUMBER(SEARCH(A28,Backlog!$L$2:$L$58)))</f>
        <v>1</v>
      </c>
      <c r="H28" s="5" t="s">
        <v>833</v>
      </c>
      <c r="I28" s="5" t="s">
        <v>834</v>
      </c>
      <c r="J28" s="5"/>
      <c r="K28" s="5" t="s">
        <v>835</v>
      </c>
      <c r="L28" s="5" t="n">
        <f aca="false">SUMPRODUCT(--ISNUMBER(SEARCH(A28,Test_Cases!$D$2:$D$1000)))</f>
        <v>5</v>
      </c>
      <c r="M28" s="5" t="str">
        <f aca="false">IF(G28=0,"GAP - no function",IF(L28=0,"NO TEST",IF(L28&lt;3,"THIN","COVERED")))</f>
        <v>COVERED</v>
      </c>
      <c r="N28" s="5"/>
    </row>
    <row r="29" customFormat="false" ht="15" hidden="false" customHeight="false" outlineLevel="0" collapsed="false">
      <c r="A29" s="5" t="s">
        <v>381</v>
      </c>
      <c r="B29" s="5" t="s">
        <v>356</v>
      </c>
      <c r="C29" s="5" t="s">
        <v>836</v>
      </c>
      <c r="D29" s="5" t="s">
        <v>359</v>
      </c>
      <c r="E29" s="5" t="s">
        <v>714</v>
      </c>
      <c r="F29" s="5" t="s">
        <v>378</v>
      </c>
      <c r="G29" s="5" t="n">
        <f aca="false">SUMPRODUCT(--ISNUMBER(SEARCH(A29,Backlog!$L$2:$L$58)))</f>
        <v>1</v>
      </c>
      <c r="H29" s="5" t="s">
        <v>837</v>
      </c>
      <c r="I29" s="5" t="s">
        <v>838</v>
      </c>
      <c r="J29" s="5"/>
      <c r="K29" s="5"/>
      <c r="L29" s="5" t="n">
        <f aca="false">SUMPRODUCT(--ISNUMBER(SEARCH(A29,Test_Cases!$D$2:$D$1000)))</f>
        <v>4</v>
      </c>
      <c r="M29" s="5" t="str">
        <f aca="false">IF(G29=0,"GAP - no function",IF(L29=0,"NO TEST",IF(L29&lt;3,"THIN","COVERED")))</f>
        <v>COVERED</v>
      </c>
      <c r="N29" s="5"/>
    </row>
    <row r="30" customFormat="false" ht="22.35" hidden="false" customHeight="false" outlineLevel="0" collapsed="false">
      <c r="A30" s="5" t="s">
        <v>839</v>
      </c>
      <c r="B30" s="5" t="s">
        <v>356</v>
      </c>
      <c r="C30" s="5" t="s">
        <v>840</v>
      </c>
      <c r="D30" s="5" t="s">
        <v>389</v>
      </c>
      <c r="E30" s="5" t="s">
        <v>714</v>
      </c>
      <c r="F30" s="5" t="s">
        <v>385</v>
      </c>
      <c r="G30" s="5" t="n">
        <f aca="false">SUMPRODUCT(--ISNUMBER(SEARCH(A30,Backlog!$L$2:$L$58)))</f>
        <v>1</v>
      </c>
      <c r="H30" s="5" t="s">
        <v>841</v>
      </c>
      <c r="I30" s="5" t="s">
        <v>842</v>
      </c>
      <c r="J30" s="5" t="s">
        <v>394</v>
      </c>
      <c r="K30" s="5" t="s">
        <v>843</v>
      </c>
      <c r="L30" s="5" t="n">
        <f aca="false">SUMPRODUCT(--ISNUMBER(SEARCH(A30,Test_Cases!$D$2:$D$1000)))</f>
        <v>9</v>
      </c>
      <c r="M30" s="5" t="str">
        <f aca="false">IF(G30=0,"GAP - no function",IF(L30=0,"NO TEST",IF(L30&lt;3,"THIN","COVERED")))</f>
        <v>COVERED</v>
      </c>
      <c r="N30" s="5" t="s">
        <v>398</v>
      </c>
    </row>
    <row r="31" customFormat="false" ht="32.8" hidden="false" customHeight="false" outlineLevel="0" collapsed="false">
      <c r="A31" s="5" t="s">
        <v>844</v>
      </c>
      <c r="B31" s="5" t="s">
        <v>356</v>
      </c>
      <c r="C31" s="5" t="s">
        <v>845</v>
      </c>
      <c r="D31" s="5" t="s">
        <v>389</v>
      </c>
      <c r="E31" s="5" t="s">
        <v>714</v>
      </c>
      <c r="F31" s="5" t="s">
        <v>399</v>
      </c>
      <c r="G31" s="5" t="n">
        <f aca="false">SUMPRODUCT(--ISNUMBER(SEARCH(A31,Backlog!$L$2:$L$58)))</f>
        <v>1</v>
      </c>
      <c r="H31" s="5" t="s">
        <v>846</v>
      </c>
      <c r="I31" s="5" t="s">
        <v>847</v>
      </c>
      <c r="J31" s="5" t="s">
        <v>408</v>
      </c>
      <c r="K31" s="5" t="s">
        <v>848</v>
      </c>
      <c r="L31" s="5" t="n">
        <f aca="false">SUMPRODUCT(--ISNUMBER(SEARCH(A31,Test_Cases!$D$2:$D$1000)))</f>
        <v>6</v>
      </c>
      <c r="M31" s="5" t="str">
        <f aca="false">IF(G31=0,"GAP - no function",IF(L31=0,"NO TEST",IF(L31&lt;3,"THIN","COVERED")))</f>
        <v>COVERED</v>
      </c>
      <c r="N31" s="5" t="s">
        <v>413</v>
      </c>
    </row>
    <row r="32" customFormat="false" ht="32.8" hidden="false" customHeight="false" outlineLevel="0" collapsed="false">
      <c r="A32" s="5" t="s">
        <v>849</v>
      </c>
      <c r="B32" s="5" t="s">
        <v>356</v>
      </c>
      <c r="C32" s="5" t="s">
        <v>850</v>
      </c>
      <c r="D32" s="5" t="s">
        <v>389</v>
      </c>
      <c r="E32" s="5" t="s">
        <v>714</v>
      </c>
      <c r="F32" s="5" t="s">
        <v>448</v>
      </c>
      <c r="G32" s="5" t="n">
        <f aca="false">SUMPRODUCT(--ISNUMBER(SEARCH(A32,Backlog!$L$2:$L$58)))</f>
        <v>1</v>
      </c>
      <c r="H32" s="5" t="s">
        <v>851</v>
      </c>
      <c r="I32" s="5" t="s">
        <v>847</v>
      </c>
      <c r="J32" s="5" t="s">
        <v>453</v>
      </c>
      <c r="K32" s="5" t="s">
        <v>852</v>
      </c>
      <c r="L32" s="5" t="n">
        <f aca="false">SUMPRODUCT(--ISNUMBER(SEARCH(A32,Test_Cases!$D$2:$D$1000)))</f>
        <v>4</v>
      </c>
      <c r="M32" s="5" t="str">
        <f aca="false">IF(G32=0,"GAP - no function",IF(L32=0,"NO TEST",IF(L32&lt;3,"THIN","COVERED")))</f>
        <v>COVERED</v>
      </c>
      <c r="N32" s="5" t="s">
        <v>230</v>
      </c>
    </row>
    <row r="33" customFormat="false" ht="32.8" hidden="false" customHeight="false" outlineLevel="0" collapsed="false">
      <c r="A33" s="5" t="s">
        <v>853</v>
      </c>
      <c r="B33" s="5" t="s">
        <v>356</v>
      </c>
      <c r="C33" s="5" t="s">
        <v>854</v>
      </c>
      <c r="D33" s="5" t="s">
        <v>389</v>
      </c>
      <c r="E33" s="5" t="s">
        <v>714</v>
      </c>
      <c r="F33" s="5" t="s">
        <v>457</v>
      </c>
      <c r="G33" s="5" t="n">
        <f aca="false">SUMPRODUCT(--ISNUMBER(SEARCH(A33,Backlog!$L$2:$L$58)))</f>
        <v>1</v>
      </c>
      <c r="H33" s="5" t="s">
        <v>855</v>
      </c>
      <c r="I33" s="5" t="s">
        <v>856</v>
      </c>
      <c r="J33" s="5" t="s">
        <v>857</v>
      </c>
      <c r="K33" s="5" t="s">
        <v>463</v>
      </c>
      <c r="L33" s="5" t="n">
        <f aca="false">SUMPRODUCT(--ISNUMBER(SEARCH(A33,Test_Cases!$D$2:$D$1000)))</f>
        <v>5</v>
      </c>
      <c r="M33" s="5" t="str">
        <f aca="false">IF(G33=0,"GAP - no function",IF(L33=0,"NO TEST",IF(L33&lt;3,"THIN","COVERED")))</f>
        <v>COVERED</v>
      </c>
      <c r="N33" s="5" t="s">
        <v>469</v>
      </c>
    </row>
    <row r="34" customFormat="false" ht="22.35" hidden="false" customHeight="false" outlineLevel="0" collapsed="false">
      <c r="A34" s="5" t="s">
        <v>432</v>
      </c>
      <c r="B34" s="5" t="s">
        <v>356</v>
      </c>
      <c r="C34" s="5" t="s">
        <v>858</v>
      </c>
      <c r="D34" s="5" t="s">
        <v>389</v>
      </c>
      <c r="E34" s="5" t="s">
        <v>741</v>
      </c>
      <c r="F34" s="5" t="s">
        <v>859</v>
      </c>
      <c r="G34" s="5" t="n">
        <f aca="false">SUMPRODUCT(--ISNUMBER(SEARCH(A34,Backlog!$L$2:$L$58)))</f>
        <v>2</v>
      </c>
      <c r="H34" s="5" t="s">
        <v>860</v>
      </c>
      <c r="I34" s="5" t="s">
        <v>861</v>
      </c>
      <c r="J34" s="5" t="s">
        <v>862</v>
      </c>
      <c r="K34" s="5"/>
      <c r="L34" s="5" t="n">
        <f aca="false">SUMPRODUCT(--ISNUMBER(SEARCH(A34,Test_Cases!$D$2:$D$1000)))</f>
        <v>9</v>
      </c>
      <c r="M34" s="5" t="str">
        <f aca="false">IF(G34=0,"GAP - no function",IF(L34=0,"NO TEST",IF(L34&lt;3,"THIN","COVERED")))</f>
        <v>COVERED</v>
      </c>
      <c r="N34" s="5" t="s">
        <v>863</v>
      </c>
    </row>
    <row r="35" customFormat="false" ht="22.35" hidden="false" customHeight="false" outlineLevel="0" collapsed="false">
      <c r="A35" s="5" t="s">
        <v>474</v>
      </c>
      <c r="B35" s="5" t="s">
        <v>356</v>
      </c>
      <c r="C35" s="5" t="s">
        <v>864</v>
      </c>
      <c r="D35" s="5" t="s">
        <v>473</v>
      </c>
      <c r="E35" s="5" t="s">
        <v>741</v>
      </c>
      <c r="F35" s="5" t="s">
        <v>865</v>
      </c>
      <c r="G35" s="5" t="n">
        <f aca="false">SUMPRODUCT(--ISNUMBER(SEARCH(A35,Backlog!$L$2:$L$58)))</f>
        <v>2</v>
      </c>
      <c r="H35" s="5" t="s">
        <v>866</v>
      </c>
      <c r="I35" s="5" t="s">
        <v>842</v>
      </c>
      <c r="J35" s="5" t="s">
        <v>484</v>
      </c>
      <c r="K35" s="5" t="s">
        <v>867</v>
      </c>
      <c r="L35" s="5" t="n">
        <f aca="false">SUMPRODUCT(--ISNUMBER(SEARCH(A35,Test_Cases!$D$2:$D$1000)))</f>
        <v>12</v>
      </c>
      <c r="M35" s="5" t="str">
        <f aca="false">IF(G35=0,"GAP - no function",IF(L35=0,"NO TEST",IF(L35&lt;3,"THIN","COVERED")))</f>
        <v>COVERED</v>
      </c>
      <c r="N35" s="5" t="s">
        <v>366</v>
      </c>
    </row>
    <row r="36" customFormat="false" ht="32.8" hidden="false" customHeight="false" outlineLevel="0" collapsed="false">
      <c r="A36" s="5" t="s">
        <v>868</v>
      </c>
      <c r="B36" s="5" t="s">
        <v>356</v>
      </c>
      <c r="C36" s="5" t="s">
        <v>869</v>
      </c>
      <c r="D36" s="5" t="s">
        <v>389</v>
      </c>
      <c r="E36" s="5" t="s">
        <v>714</v>
      </c>
      <c r="F36" s="5" t="s">
        <v>870</v>
      </c>
      <c r="G36" s="5" t="n">
        <f aca="false">SUMPRODUCT(--ISNUMBER(SEARCH(A36,Backlog!$L$2:$L$58)))</f>
        <v>2</v>
      </c>
      <c r="H36" s="5" t="s">
        <v>871</v>
      </c>
      <c r="I36" s="5" t="s">
        <v>842</v>
      </c>
      <c r="J36" s="5" t="s">
        <v>872</v>
      </c>
      <c r="K36" s="5" t="s">
        <v>873</v>
      </c>
      <c r="L36" s="5" t="n">
        <f aca="false">SUMPRODUCT(--ISNUMBER(SEARCH(A36,Test_Cases!$D$2:$D$1000)))</f>
        <v>10</v>
      </c>
      <c r="M36" s="5" t="str">
        <f aca="false">IF(G36=0,"GAP - no function",IF(L36=0,"NO TEST",IF(L36&lt;3,"THIN","COVERED")))</f>
        <v>COVERED</v>
      </c>
      <c r="N36" s="5"/>
    </row>
    <row r="37" customFormat="false" ht="15" hidden="false" customHeight="false" outlineLevel="0" collapsed="false">
      <c r="A37" s="5" t="s">
        <v>874</v>
      </c>
      <c r="B37" s="5" t="s">
        <v>356</v>
      </c>
      <c r="C37" s="5" t="s">
        <v>875</v>
      </c>
      <c r="D37" s="5" t="s">
        <v>876</v>
      </c>
      <c r="E37" s="5" t="s">
        <v>741</v>
      </c>
      <c r="F37" s="5" t="s">
        <v>355</v>
      </c>
      <c r="G37" s="5" t="n">
        <f aca="false">SUMPRODUCT(--ISNUMBER(SEARCH(A37,Backlog!$L$2:$L$58)))</f>
        <v>1</v>
      </c>
      <c r="H37" s="5" t="s">
        <v>829</v>
      </c>
      <c r="I37" s="5" t="s">
        <v>830</v>
      </c>
      <c r="J37" s="5"/>
      <c r="K37" s="5" t="s">
        <v>831</v>
      </c>
      <c r="L37" s="5" t="n">
        <f aca="false">SUMPRODUCT(--ISNUMBER(SEARCH(A37,Test_Cases!$D$2:$D$1000)))</f>
        <v>5</v>
      </c>
      <c r="M37" s="5" t="str">
        <f aca="false">IF(G37=0,"GAP - no function",IF(L37=0,"NO TEST",IF(L37&lt;3,"THIN","COVERED")))</f>
        <v>COVERED</v>
      </c>
      <c r="N37" s="5" t="s">
        <v>366</v>
      </c>
    </row>
    <row r="38" customFormat="false" ht="22.35" hidden="false" customHeight="false" outlineLevel="0" collapsed="false">
      <c r="A38" s="5" t="s">
        <v>610</v>
      </c>
      <c r="B38" s="5" t="s">
        <v>356</v>
      </c>
      <c r="C38" s="5" t="s">
        <v>877</v>
      </c>
      <c r="D38" s="5" t="s">
        <v>878</v>
      </c>
      <c r="E38" s="5" t="s">
        <v>741</v>
      </c>
      <c r="F38" s="5" t="s">
        <v>604</v>
      </c>
      <c r="G38" s="5" t="n">
        <f aca="false">SUMPRODUCT(--ISNUMBER(SEARCH(A38,Backlog!$L$2:$L$58)))</f>
        <v>1</v>
      </c>
      <c r="H38" s="5" t="s">
        <v>879</v>
      </c>
      <c r="I38" s="5" t="s">
        <v>830</v>
      </c>
      <c r="J38" s="5"/>
      <c r="K38" s="5" t="s">
        <v>880</v>
      </c>
      <c r="L38" s="5" t="n">
        <f aca="false">SUMPRODUCT(--ISNUMBER(SEARCH(A38,Test_Cases!$D$2:$D$1000)))</f>
        <v>3</v>
      </c>
      <c r="M38" s="5" t="str">
        <f aca="false">IF(G38=0,"GAP - no function",IF(L38=0,"NO TEST",IF(L38&lt;3,"THIN","COVERED")))</f>
        <v>COVERED</v>
      </c>
      <c r="N38" s="5"/>
    </row>
    <row r="39" customFormat="false" ht="22.35" hidden="false" customHeight="false" outlineLevel="0" collapsed="false">
      <c r="A39" s="5" t="s">
        <v>881</v>
      </c>
      <c r="B39" s="5" t="s">
        <v>641</v>
      </c>
      <c r="C39" s="5" t="s">
        <v>882</v>
      </c>
      <c r="D39" s="5" t="s">
        <v>659</v>
      </c>
      <c r="E39" s="5" t="s">
        <v>714</v>
      </c>
      <c r="F39" s="5" t="s">
        <v>640</v>
      </c>
      <c r="G39" s="5" t="n">
        <f aca="false">SUMPRODUCT(--ISNUMBER(SEARCH(A39,Backlog!$L$2:$L$58)))</f>
        <v>1</v>
      </c>
      <c r="H39" s="5" t="s">
        <v>883</v>
      </c>
      <c r="I39" s="5" t="s">
        <v>884</v>
      </c>
      <c r="J39" s="5" t="s">
        <v>885</v>
      </c>
      <c r="K39" s="5" t="s">
        <v>886</v>
      </c>
      <c r="L39" s="5" t="n">
        <f aca="false">SUMPRODUCT(--ISNUMBER(SEARCH(A39,Test_Cases!$D$2:$D$1000)))</f>
        <v>6</v>
      </c>
      <c r="M39" s="5" t="str">
        <f aca="false">IF(G39=0,"GAP - no function",IF(L39=0,"NO TEST",IF(L39&lt;3,"THIN","COVERED")))</f>
        <v>COVERED</v>
      </c>
      <c r="N39" s="5" t="s">
        <v>654</v>
      </c>
    </row>
    <row r="40" customFormat="false" ht="22.35" hidden="false" customHeight="false" outlineLevel="0" collapsed="false">
      <c r="A40" s="5" t="s">
        <v>887</v>
      </c>
      <c r="B40" s="5" t="s">
        <v>641</v>
      </c>
      <c r="C40" s="5" t="s">
        <v>888</v>
      </c>
      <c r="D40" s="5" t="s">
        <v>659</v>
      </c>
      <c r="E40" s="5" t="s">
        <v>714</v>
      </c>
      <c r="F40" s="5" t="s">
        <v>640</v>
      </c>
      <c r="G40" s="5" t="n">
        <f aca="false">SUMPRODUCT(--ISNUMBER(SEARCH(A40,Backlog!$L$2:$L$58)))</f>
        <v>1</v>
      </c>
      <c r="H40" s="5" t="s">
        <v>883</v>
      </c>
      <c r="I40" s="5" t="s">
        <v>884</v>
      </c>
      <c r="J40" s="5" t="s">
        <v>885</v>
      </c>
      <c r="K40" s="5" t="s">
        <v>886</v>
      </c>
      <c r="L40" s="5" t="n">
        <f aca="false">SUMPRODUCT(--ISNUMBER(SEARCH(A40,Test_Cases!$D$2:$D$1000)))</f>
        <v>5</v>
      </c>
      <c r="M40" s="5" t="str">
        <f aca="false">IF(G40=0,"GAP - no function",IF(L40=0,"NO TEST",IF(L40&lt;3,"THIN","COVERED")))</f>
        <v>COVERED</v>
      </c>
      <c r="N40" s="5" t="s">
        <v>654</v>
      </c>
    </row>
    <row r="41" customFormat="false" ht="22.35" hidden="false" customHeight="false" outlineLevel="0" collapsed="false">
      <c r="A41" s="5" t="s">
        <v>889</v>
      </c>
      <c r="B41" s="5" t="s">
        <v>641</v>
      </c>
      <c r="C41" s="5" t="s">
        <v>890</v>
      </c>
      <c r="D41" s="5" t="s">
        <v>659</v>
      </c>
      <c r="E41" s="5" t="s">
        <v>714</v>
      </c>
      <c r="F41" s="5" t="s">
        <v>640</v>
      </c>
      <c r="G41" s="5" t="n">
        <f aca="false">SUMPRODUCT(--ISNUMBER(SEARCH(A41,Backlog!$L$2:$L$58)))</f>
        <v>1</v>
      </c>
      <c r="H41" s="5" t="s">
        <v>883</v>
      </c>
      <c r="I41" s="5" t="s">
        <v>884</v>
      </c>
      <c r="J41" s="5" t="s">
        <v>885</v>
      </c>
      <c r="K41" s="5" t="s">
        <v>886</v>
      </c>
      <c r="L41" s="5" t="n">
        <f aca="false">SUMPRODUCT(--ISNUMBER(SEARCH(A41,Test_Cases!$D$2:$D$1000)))</f>
        <v>4</v>
      </c>
      <c r="M41" s="5" t="str">
        <f aca="false">IF(G41=0,"GAP - no function",IF(L41=0,"NO TEST",IF(L41&lt;3,"THIN","COVERED")))</f>
        <v>COVERED</v>
      </c>
      <c r="N41" s="5" t="s">
        <v>654</v>
      </c>
    </row>
    <row r="42" customFormat="false" ht="15" hidden="false" customHeight="false" outlineLevel="0" collapsed="false">
      <c r="A42" s="5" t="s">
        <v>891</v>
      </c>
      <c r="B42" s="5" t="s">
        <v>641</v>
      </c>
      <c r="C42" s="5" t="s">
        <v>892</v>
      </c>
      <c r="D42" s="5" t="s">
        <v>659</v>
      </c>
      <c r="E42" s="5" t="s">
        <v>714</v>
      </c>
      <c r="F42" s="5" t="s">
        <v>655</v>
      </c>
      <c r="G42" s="5" t="n">
        <f aca="false">SUMPRODUCT(--ISNUMBER(SEARCH(A42,Backlog!$L$2:$L$58)))</f>
        <v>1</v>
      </c>
      <c r="H42" s="5" t="s">
        <v>893</v>
      </c>
      <c r="I42" s="5" t="s">
        <v>662</v>
      </c>
      <c r="J42" s="5"/>
      <c r="K42" s="5" t="s">
        <v>894</v>
      </c>
      <c r="L42" s="5" t="n">
        <f aca="false">SUMPRODUCT(--ISNUMBER(SEARCH(A42,Test_Cases!$D$2:$D$1000)))</f>
        <v>9</v>
      </c>
      <c r="M42" s="5" t="str">
        <f aca="false">IF(G42=0,"GAP - no function",IF(L42=0,"NO TEST",IF(L42&lt;3,"THIN","COVERED")))</f>
        <v>COVERED</v>
      </c>
      <c r="N42" s="5"/>
    </row>
    <row r="43" customFormat="false" ht="15" hidden="false" customHeight="false" outlineLevel="0" collapsed="false">
      <c r="A43" s="5" t="s">
        <v>895</v>
      </c>
      <c r="B43" s="5" t="s">
        <v>641</v>
      </c>
      <c r="C43" s="5" t="s">
        <v>896</v>
      </c>
      <c r="D43" s="5" t="s">
        <v>659</v>
      </c>
      <c r="E43" s="5" t="s">
        <v>714</v>
      </c>
      <c r="F43" s="5" t="s">
        <v>655</v>
      </c>
      <c r="G43" s="5" t="n">
        <f aca="false">SUMPRODUCT(--ISNUMBER(SEARCH(A43,Backlog!$L$2:$L$58)))</f>
        <v>1</v>
      </c>
      <c r="H43" s="5" t="s">
        <v>893</v>
      </c>
      <c r="I43" s="5" t="s">
        <v>662</v>
      </c>
      <c r="J43" s="5"/>
      <c r="K43" s="5" t="s">
        <v>894</v>
      </c>
      <c r="L43" s="5" t="n">
        <f aca="false">SUMPRODUCT(--ISNUMBER(SEARCH(A43,Test_Cases!$D$2:$D$1000)))</f>
        <v>10</v>
      </c>
      <c r="M43" s="5" t="str">
        <f aca="false">IF(G43=0,"GAP - no function",IF(L43=0,"NO TEST",IF(L43&lt;3,"THIN","COVERED")))</f>
        <v>COVERED</v>
      </c>
      <c r="N43" s="5"/>
    </row>
    <row r="44" customFormat="false" ht="22.35" hidden="false" customHeight="false" outlineLevel="0" collapsed="false">
      <c r="A44" s="5" t="s">
        <v>685</v>
      </c>
      <c r="B44" s="5" t="s">
        <v>641</v>
      </c>
      <c r="C44" s="5" t="s">
        <v>897</v>
      </c>
      <c r="D44" s="5" t="s">
        <v>684</v>
      </c>
      <c r="E44" s="5" t="s">
        <v>714</v>
      </c>
      <c r="F44" s="5" t="s">
        <v>681</v>
      </c>
      <c r="G44" s="5" t="n">
        <f aca="false">SUMPRODUCT(--ISNUMBER(SEARCH(A44,Backlog!$L$2:$L$58)))</f>
        <v>1</v>
      </c>
      <c r="H44" s="5" t="s">
        <v>898</v>
      </c>
      <c r="I44" s="5" t="s">
        <v>686</v>
      </c>
      <c r="J44" s="5" t="s">
        <v>687</v>
      </c>
      <c r="K44" s="5"/>
      <c r="L44" s="5" t="n">
        <f aca="false">SUMPRODUCT(--ISNUMBER(SEARCH(A44,Test_Cases!$D$2:$D$1000)))</f>
        <v>4</v>
      </c>
      <c r="M44" s="5" t="str">
        <f aca="false">IF(G44=0,"GAP - no function",IF(L44=0,"NO TEST",IF(L44&lt;3,"THIN","COVERED")))</f>
        <v>COVERED</v>
      </c>
      <c r="N44" s="5" t="s">
        <v>691</v>
      </c>
    </row>
    <row r="45" customFormat="false" ht="137.3" hidden="false" customHeight="false" outlineLevel="0" collapsed="false">
      <c r="A45" s="5" t="s">
        <v>899</v>
      </c>
      <c r="B45" s="5" t="s">
        <v>641</v>
      </c>
      <c r="C45" s="5" t="s">
        <v>900</v>
      </c>
      <c r="D45" s="5" t="s">
        <v>659</v>
      </c>
      <c r="E45" s="5" t="s">
        <v>741</v>
      </c>
      <c r="F45" s="5" t="s">
        <v>901</v>
      </c>
      <c r="G45" s="5" t="n">
        <f aca="false">SUMPRODUCT(--ISNUMBER(SEARCH(A45,Backlog!$L$2:$L$58)))</f>
        <v>4</v>
      </c>
      <c r="H45" s="5" t="s">
        <v>902</v>
      </c>
      <c r="I45" s="5" t="s">
        <v>903</v>
      </c>
      <c r="J45" s="5" t="s">
        <v>904</v>
      </c>
      <c r="K45" s="5" t="s">
        <v>905</v>
      </c>
      <c r="L45" s="5" t="n">
        <f aca="false">SUMPRODUCT(--ISNUMBER(SEARCH(A45,Test_Cases!$D$2:$D$1000)))</f>
        <v>19</v>
      </c>
      <c r="M45" s="5" t="str">
        <f aca="false">IF(G45=0,"GAP - no function",IF(L45=0,"NO TEST",IF(L45&lt;3,"THIN","COVERED")))</f>
        <v>COVERED</v>
      </c>
      <c r="N45" s="5" t="s">
        <v>906</v>
      </c>
    </row>
    <row r="46" customFormat="false" ht="105.95" hidden="false" customHeight="false" outlineLevel="0" collapsed="false">
      <c r="A46" s="5" t="s">
        <v>907</v>
      </c>
      <c r="B46" s="5" t="s">
        <v>641</v>
      </c>
      <c r="C46" s="5" t="s">
        <v>908</v>
      </c>
      <c r="D46" s="5" t="s">
        <v>909</v>
      </c>
      <c r="E46" s="5" t="s">
        <v>714</v>
      </c>
      <c r="F46" s="5" t="s">
        <v>910</v>
      </c>
      <c r="G46" s="5" t="n">
        <f aca="false">SUMPRODUCT(--ISNUMBER(SEARCH(A46,Backlog!$L$2:$L$58)))</f>
        <v>4</v>
      </c>
      <c r="H46" s="5" t="s">
        <v>911</v>
      </c>
      <c r="I46" s="5" t="s">
        <v>912</v>
      </c>
      <c r="J46" s="5" t="s">
        <v>913</v>
      </c>
      <c r="K46" s="5" t="s">
        <v>914</v>
      </c>
      <c r="L46" s="5" t="n">
        <f aca="false">SUMPRODUCT(--ISNUMBER(SEARCH(A46,Test_Cases!$D$2:$D$1000)))</f>
        <v>23</v>
      </c>
      <c r="M46" s="5" t="str">
        <f aca="false">IF(G46=0,"GAP - no function",IF(L46=0,"NO TEST",IF(L46&lt;3,"THIN","COVERED")))</f>
        <v>COVERED</v>
      </c>
      <c r="N46" s="5" t="s">
        <v>915</v>
      </c>
    </row>
    <row r="47" customFormat="false" ht="22.35" hidden="false" customHeight="false" outlineLevel="0" collapsed="false">
      <c r="A47" s="5" t="s">
        <v>696</v>
      </c>
      <c r="B47" s="5" t="s">
        <v>641</v>
      </c>
      <c r="C47" s="5" t="s">
        <v>916</v>
      </c>
      <c r="D47" s="5" t="s">
        <v>684</v>
      </c>
      <c r="E47" s="5" t="s">
        <v>749</v>
      </c>
      <c r="F47" s="5" t="s">
        <v>692</v>
      </c>
      <c r="G47" s="5" t="n">
        <f aca="false">SUMPRODUCT(--ISNUMBER(SEARCH(A47,Backlog!$L$2:$L$58)))</f>
        <v>1</v>
      </c>
      <c r="H47" s="5" t="s">
        <v>917</v>
      </c>
      <c r="I47" s="5" t="s">
        <v>918</v>
      </c>
      <c r="J47" s="5" t="s">
        <v>697</v>
      </c>
      <c r="K47" s="5"/>
      <c r="L47" s="5" t="n">
        <f aca="false">SUMPRODUCT(--ISNUMBER(SEARCH(A47,Test_Cases!$D$2:$D$1000)))</f>
        <v>4</v>
      </c>
      <c r="M47" s="5" t="str">
        <f aca="false">IF(G47=0,"GAP - no function",IF(L47=0,"NO TEST",IF(L47&lt;3,"THIN","COVERED")))</f>
        <v>COVERED</v>
      </c>
      <c r="N47" s="5" t="s">
        <v>700</v>
      </c>
    </row>
    <row r="48" customFormat="false" ht="43.25" hidden="false" customHeight="false" outlineLevel="0" collapsed="false">
      <c r="A48" s="5" t="s">
        <v>919</v>
      </c>
      <c r="B48" s="5" t="s">
        <v>920</v>
      </c>
      <c r="C48" s="5" t="s">
        <v>921</v>
      </c>
      <c r="D48" s="5" t="s">
        <v>246</v>
      </c>
      <c r="E48" s="5" t="s">
        <v>714</v>
      </c>
      <c r="F48" s="5" t="s">
        <v>922</v>
      </c>
      <c r="G48" s="5" t="n">
        <f aca="false">SUMPRODUCT(--ISNUMBER(SEARCH(A48,Backlog!$L$2:$L$58)))</f>
        <v>3</v>
      </c>
      <c r="H48" s="5" t="s">
        <v>923</v>
      </c>
      <c r="I48" s="5" t="s">
        <v>924</v>
      </c>
      <c r="J48" s="5" t="s">
        <v>925</v>
      </c>
      <c r="K48" s="5" t="s">
        <v>926</v>
      </c>
      <c r="L48" s="5" t="n">
        <f aca="false">SUMPRODUCT(--ISNUMBER(SEARCH(A48,Test_Cases!$D$2:$D$1000)))</f>
        <v>23</v>
      </c>
      <c r="M48" s="5" t="str">
        <f aca="false">IF(G48=0,"GAP - no function",IF(L48=0,"NO TEST",IF(L48&lt;3,"THIN","COVERED")))</f>
        <v>COVERED</v>
      </c>
      <c r="N48" s="5" t="s">
        <v>927</v>
      </c>
    </row>
    <row r="49" customFormat="false" ht="43.25" hidden="false" customHeight="false" outlineLevel="0" collapsed="false">
      <c r="A49" s="5" t="s">
        <v>928</v>
      </c>
      <c r="B49" s="5" t="s">
        <v>920</v>
      </c>
      <c r="C49" s="5" t="s">
        <v>929</v>
      </c>
      <c r="D49" s="5" t="s">
        <v>246</v>
      </c>
      <c r="E49" s="5" t="s">
        <v>714</v>
      </c>
      <c r="F49" s="5" t="s">
        <v>930</v>
      </c>
      <c r="G49" s="5" t="n">
        <f aca="false">SUMPRODUCT(--ISNUMBER(SEARCH(A49,Backlog!$L$2:$L$58)))</f>
        <v>2</v>
      </c>
      <c r="H49" s="5" t="s">
        <v>931</v>
      </c>
      <c r="I49" s="5" t="s">
        <v>924</v>
      </c>
      <c r="J49" s="5" t="s">
        <v>932</v>
      </c>
      <c r="K49" s="5" t="s">
        <v>933</v>
      </c>
      <c r="L49" s="5" t="n">
        <f aca="false">SUMPRODUCT(--ISNUMBER(SEARCH(A49,Test_Cases!$D$2:$D$1000)))</f>
        <v>14</v>
      </c>
      <c r="M49" s="5" t="str">
        <f aca="false">IF(G49=0,"GAP - no function",IF(L49=0,"NO TEST",IF(L49&lt;3,"THIN","COVERED")))</f>
        <v>COVERED</v>
      </c>
      <c r="N49" s="5" t="s">
        <v>427</v>
      </c>
    </row>
    <row r="50" customFormat="false" ht="43.25" hidden="false" customHeight="false" outlineLevel="0" collapsed="false">
      <c r="A50" s="5" t="s">
        <v>934</v>
      </c>
      <c r="B50" s="5" t="s">
        <v>920</v>
      </c>
      <c r="C50" s="5" t="s">
        <v>935</v>
      </c>
      <c r="D50" s="5" t="s">
        <v>246</v>
      </c>
      <c r="E50" s="5" t="s">
        <v>714</v>
      </c>
      <c r="F50" s="5" t="s">
        <v>936</v>
      </c>
      <c r="G50" s="5" t="n">
        <f aca="false">SUMPRODUCT(--ISNUMBER(SEARCH(A50,Backlog!$L$2:$L$58)))</f>
        <v>2</v>
      </c>
      <c r="H50" s="5" t="s">
        <v>937</v>
      </c>
      <c r="I50" s="5" t="s">
        <v>938</v>
      </c>
      <c r="J50" s="5" t="s">
        <v>939</v>
      </c>
      <c r="K50" s="5" t="s">
        <v>940</v>
      </c>
      <c r="L50" s="5" t="n">
        <f aca="false">SUMPRODUCT(--ISNUMBER(SEARCH(A50,Test_Cases!$D$2:$D$1000)))</f>
        <v>14</v>
      </c>
      <c r="M50" s="5" t="str">
        <f aca="false">IF(G50=0,"GAP - no function",IF(L50=0,"NO TEST",IF(L50&lt;3,"THIN","COVERED")))</f>
        <v>COVERED</v>
      </c>
      <c r="N50" s="5" t="s">
        <v>941</v>
      </c>
    </row>
    <row r="51" customFormat="false" ht="43.25" hidden="false" customHeight="false" outlineLevel="0" collapsed="false">
      <c r="A51" s="5" t="s">
        <v>942</v>
      </c>
      <c r="B51" s="5" t="s">
        <v>920</v>
      </c>
      <c r="C51" s="5" t="s">
        <v>943</v>
      </c>
      <c r="D51" s="5" t="s">
        <v>246</v>
      </c>
      <c r="E51" s="5" t="s">
        <v>714</v>
      </c>
      <c r="F51" s="5" t="s">
        <v>414</v>
      </c>
      <c r="G51" s="5" t="n">
        <f aca="false">SUMPRODUCT(--ISNUMBER(SEARCH(A51,Backlog!$L$2:$L$58)))</f>
        <v>1</v>
      </c>
      <c r="H51" s="5" t="s">
        <v>944</v>
      </c>
      <c r="I51" s="5" t="s">
        <v>924</v>
      </c>
      <c r="J51" s="5" t="s">
        <v>422</v>
      </c>
      <c r="K51" s="5" t="s">
        <v>945</v>
      </c>
      <c r="L51" s="5" t="n">
        <f aca="false">SUMPRODUCT(--ISNUMBER(SEARCH(A51,Test_Cases!$D$2:$D$1000)))</f>
        <v>11</v>
      </c>
      <c r="M51" s="5" t="str">
        <f aca="false">IF(G51=0,"GAP - no function",IF(L51=0,"NO TEST",IF(L51&lt;3,"THIN","COVERED")))</f>
        <v>COVERED</v>
      </c>
      <c r="N51" s="5" t="s">
        <v>427</v>
      </c>
    </row>
    <row r="52" customFormat="false" ht="53.7" hidden="false" customHeight="false" outlineLevel="0" collapsed="false">
      <c r="A52" s="5" t="s">
        <v>946</v>
      </c>
      <c r="B52" s="5" t="s">
        <v>947</v>
      </c>
      <c r="C52" s="5" t="s">
        <v>948</v>
      </c>
      <c r="D52" s="5" t="s">
        <v>246</v>
      </c>
      <c r="E52" s="5" t="s">
        <v>714</v>
      </c>
      <c r="F52" s="5" t="s">
        <v>949</v>
      </c>
      <c r="G52" s="5" t="n">
        <f aca="false">SUMPRODUCT(--ISNUMBER(SEARCH(A52,Backlog!$L$2:$L$58)))</f>
        <v>4</v>
      </c>
      <c r="H52" s="5" t="s">
        <v>950</v>
      </c>
      <c r="I52" s="5" t="s">
        <v>924</v>
      </c>
      <c r="J52" s="5" t="s">
        <v>951</v>
      </c>
      <c r="K52" s="5" t="s">
        <v>952</v>
      </c>
      <c r="L52" s="5" t="n">
        <f aca="false">SUMPRODUCT(--ISNUMBER(SEARCH(A52,Test_Cases!$D$2:$D$1000)))</f>
        <v>27</v>
      </c>
      <c r="M52" s="5" t="str">
        <f aca="false">IF(G52=0,"GAP - no function",IF(L52=0,"NO TEST",IF(L52&lt;3,"THIN","COVERED")))</f>
        <v>COVERED</v>
      </c>
      <c r="N52" s="5" t="s">
        <v>953</v>
      </c>
    </row>
    <row r="53" customFormat="false" ht="32.8" hidden="false" customHeight="false" outlineLevel="0" collapsed="false">
      <c r="A53" s="5" t="s">
        <v>954</v>
      </c>
      <c r="B53" s="5" t="s">
        <v>947</v>
      </c>
      <c r="C53" s="5" t="s">
        <v>955</v>
      </c>
      <c r="D53" s="5" t="s">
        <v>246</v>
      </c>
      <c r="E53" s="5" t="s">
        <v>714</v>
      </c>
      <c r="F53" s="5" t="s">
        <v>488</v>
      </c>
      <c r="G53" s="5" t="n">
        <f aca="false">SUMPRODUCT(--ISNUMBER(SEARCH(A53,Backlog!$L$2:$L$58)))</f>
        <v>1</v>
      </c>
      <c r="H53" s="5" t="s">
        <v>956</v>
      </c>
      <c r="I53" s="5" t="s">
        <v>957</v>
      </c>
      <c r="J53" s="5" t="s">
        <v>497</v>
      </c>
      <c r="K53" s="5" t="s">
        <v>945</v>
      </c>
      <c r="L53" s="5" t="n">
        <f aca="false">SUMPRODUCT(--ISNUMBER(SEARCH(A53,Test_Cases!$D$2:$D$1000)))</f>
        <v>8</v>
      </c>
      <c r="M53" s="5" t="str">
        <f aca="false">IF(G53=0,"GAP - no function",IF(L53=0,"NO TEST",IF(L53&lt;3,"THIN","COVERED")))</f>
        <v>COVERED</v>
      </c>
      <c r="N53" s="5" t="s">
        <v>502</v>
      </c>
    </row>
    <row r="54" customFormat="false" ht="32.8" hidden="false" customHeight="false" outlineLevel="0" collapsed="false">
      <c r="A54" s="5" t="s">
        <v>958</v>
      </c>
      <c r="B54" s="5" t="s">
        <v>947</v>
      </c>
      <c r="C54" s="5" t="s">
        <v>959</v>
      </c>
      <c r="D54" s="5" t="s">
        <v>246</v>
      </c>
      <c r="E54" s="5" t="s">
        <v>714</v>
      </c>
      <c r="F54" s="5" t="s">
        <v>503</v>
      </c>
      <c r="G54" s="5" t="n">
        <f aca="false">SUMPRODUCT(--ISNUMBER(SEARCH(A54,Backlog!$L$2:$L$58)))</f>
        <v>1</v>
      </c>
      <c r="H54" s="5" t="s">
        <v>960</v>
      </c>
      <c r="I54" s="5" t="s">
        <v>961</v>
      </c>
      <c r="J54" s="5" t="s">
        <v>962</v>
      </c>
      <c r="K54" s="5" t="s">
        <v>510</v>
      </c>
      <c r="L54" s="5" t="n">
        <f aca="false">SUMPRODUCT(--ISNUMBER(SEARCH(A54,Test_Cases!$D$2:$D$1000)))</f>
        <v>5</v>
      </c>
      <c r="M54" s="5" t="str">
        <f aca="false">IF(G54=0,"GAP - no function",IF(L54=0,"NO TEST",IF(L54&lt;3,"THIN","COVERED")))</f>
        <v>COVERED</v>
      </c>
      <c r="N54" s="5" t="s">
        <v>230</v>
      </c>
    </row>
    <row r="55" customFormat="false" ht="32.8" hidden="false" customHeight="false" outlineLevel="0" collapsed="false">
      <c r="A55" s="5" t="s">
        <v>963</v>
      </c>
      <c r="B55" s="5" t="s">
        <v>947</v>
      </c>
      <c r="C55" s="5" t="s">
        <v>964</v>
      </c>
      <c r="D55" s="5" t="s">
        <v>246</v>
      </c>
      <c r="E55" s="5" t="s">
        <v>714</v>
      </c>
      <c r="F55" s="5" t="s">
        <v>965</v>
      </c>
      <c r="G55" s="5" t="n">
        <f aca="false">SUMPRODUCT(--ISNUMBER(SEARCH(A55,Backlog!$L$2:$L$58)))</f>
        <v>2</v>
      </c>
      <c r="H55" s="5" t="s">
        <v>966</v>
      </c>
      <c r="I55" s="5" t="s">
        <v>961</v>
      </c>
      <c r="J55" s="5" t="s">
        <v>967</v>
      </c>
      <c r="K55" s="5" t="s">
        <v>968</v>
      </c>
      <c r="L55" s="5" t="n">
        <f aca="false">SUMPRODUCT(--ISNUMBER(SEARCH(A55,Test_Cases!$D$2:$D$1000)))</f>
        <v>7</v>
      </c>
      <c r="M55" s="5" t="str">
        <f aca="false">IF(G55=0,"GAP - no function",IF(L55=0,"NO TEST",IF(L55&lt;3,"THIN","COVERED")))</f>
        <v>COVERED</v>
      </c>
      <c r="N55" s="5" t="s">
        <v>590</v>
      </c>
    </row>
    <row r="56" customFormat="false" ht="32.8" hidden="false" customHeight="false" outlineLevel="0" collapsed="false">
      <c r="A56" s="5" t="s">
        <v>969</v>
      </c>
      <c r="B56" s="5" t="s">
        <v>947</v>
      </c>
      <c r="C56" s="5" t="s">
        <v>970</v>
      </c>
      <c r="D56" s="5" t="s">
        <v>473</v>
      </c>
      <c r="E56" s="5" t="s">
        <v>741</v>
      </c>
      <c r="F56" s="5" t="s">
        <v>488</v>
      </c>
      <c r="G56" s="5" t="n">
        <f aca="false">SUMPRODUCT(--ISNUMBER(SEARCH(A56,Backlog!$L$2:$L$58)))</f>
        <v>1</v>
      </c>
      <c r="H56" s="5" t="s">
        <v>956</v>
      </c>
      <c r="I56" s="5" t="s">
        <v>957</v>
      </c>
      <c r="J56" s="5" t="s">
        <v>497</v>
      </c>
      <c r="K56" s="5" t="s">
        <v>945</v>
      </c>
      <c r="L56" s="5" t="n">
        <f aca="false">SUMPRODUCT(--ISNUMBER(SEARCH(A56,Test_Cases!$D$2:$D$1000)))</f>
        <v>8</v>
      </c>
      <c r="M56" s="5" t="str">
        <f aca="false">IF(G56=0,"GAP - no function",IF(L56=0,"NO TEST",IF(L56&lt;3,"THIN","COVERED")))</f>
        <v>COVERED</v>
      </c>
      <c r="N56" s="5" t="s">
        <v>502</v>
      </c>
    </row>
    <row r="57" customFormat="false" ht="15" hidden="false" customHeight="false" outlineLevel="0" collapsed="false">
      <c r="A57" s="5" t="s">
        <v>971</v>
      </c>
      <c r="B57" s="5" t="s">
        <v>947</v>
      </c>
      <c r="C57" s="5" t="s">
        <v>972</v>
      </c>
      <c r="D57" s="5" t="s">
        <v>246</v>
      </c>
      <c r="E57" s="5" t="s">
        <v>749</v>
      </c>
      <c r="F57" s="5" t="s">
        <v>622</v>
      </c>
      <c r="G57" s="5" t="n">
        <f aca="false">SUMPRODUCT(--ISNUMBER(SEARCH(A57,Backlog!$L$2:$L$58)))</f>
        <v>1</v>
      </c>
      <c r="H57" s="5" t="s">
        <v>973</v>
      </c>
      <c r="I57" s="5" t="s">
        <v>974</v>
      </c>
      <c r="J57" s="5" t="s">
        <v>628</v>
      </c>
      <c r="K57" s="5" t="s">
        <v>627</v>
      </c>
      <c r="L57" s="5" t="n">
        <f aca="false">SUMPRODUCT(--ISNUMBER(SEARCH(A57,Test_Cases!$D$2:$D$1000)))</f>
        <v>3</v>
      </c>
      <c r="M57" s="5" t="str">
        <f aca="false">IF(G57=0,"GAP - no function",IF(L57=0,"NO TEST",IF(L57&lt;3,"THIN","COVERED")))</f>
        <v>COVERED</v>
      </c>
      <c r="N57" s="5" t="s">
        <v>158</v>
      </c>
    </row>
    <row r="58" customFormat="false" ht="22.35" hidden="false" customHeight="false" outlineLevel="0" collapsed="false">
      <c r="A58" s="5" t="s">
        <v>335</v>
      </c>
      <c r="B58" s="5" t="s">
        <v>284</v>
      </c>
      <c r="C58" s="5" t="s">
        <v>975</v>
      </c>
      <c r="D58" s="5" t="s">
        <v>976</v>
      </c>
      <c r="E58" s="5" t="s">
        <v>741</v>
      </c>
      <c r="F58" s="5" t="s">
        <v>977</v>
      </c>
      <c r="G58" s="5" t="n">
        <f aca="false">SUMPRODUCT(--ISNUMBER(SEARCH(A58,Backlog!$L$2:$L$58)))</f>
        <v>3</v>
      </c>
      <c r="H58" s="5" t="s">
        <v>978</v>
      </c>
      <c r="I58" s="5" t="s">
        <v>979</v>
      </c>
      <c r="J58" s="5"/>
      <c r="K58" s="5" t="s">
        <v>980</v>
      </c>
      <c r="L58" s="5" t="n">
        <f aca="false">SUMPRODUCT(--ISNUMBER(SEARCH(A58,Test_Cases!$D$2:$D$1000)))</f>
        <v>20</v>
      </c>
      <c r="M58" s="5" t="str">
        <f aca="false">IF(G58=0,"GAP - no function",IF(L58=0,"NO TEST",IF(L58&lt;3,"THIN","COVERED")))</f>
        <v>COVERED</v>
      </c>
      <c r="N58" s="5" t="s">
        <v>330</v>
      </c>
    </row>
    <row r="59" customFormat="false" ht="22.35" hidden="false" customHeight="false" outlineLevel="0" collapsed="false">
      <c r="A59" s="5" t="s">
        <v>288</v>
      </c>
      <c r="B59" s="5" t="s">
        <v>284</v>
      </c>
      <c r="C59" s="5" t="s">
        <v>981</v>
      </c>
      <c r="D59" s="5" t="s">
        <v>976</v>
      </c>
      <c r="E59" s="5" t="s">
        <v>741</v>
      </c>
      <c r="F59" s="5" t="s">
        <v>283</v>
      </c>
      <c r="G59" s="5" t="n">
        <f aca="false">SUMPRODUCT(--ISNUMBER(SEARCH(A59,Backlog!$L$2:$L$58)))</f>
        <v>1</v>
      </c>
      <c r="H59" s="5" t="s">
        <v>982</v>
      </c>
      <c r="I59" s="5" t="s">
        <v>983</v>
      </c>
      <c r="J59" s="5"/>
      <c r="K59" s="5" t="s">
        <v>980</v>
      </c>
      <c r="L59" s="5" t="n">
        <f aca="false">SUMPRODUCT(--ISNUMBER(SEARCH(A59,Test_Cases!$D$2:$D$1000)))</f>
        <v>5</v>
      </c>
      <c r="M59" s="5" t="str">
        <f aca="false">IF(G59=0,"GAP - no function",IF(L59=0,"NO TEST",IF(L59&lt;3,"THIN","COVERED")))</f>
        <v>COVERED</v>
      </c>
      <c r="N59" s="5" t="s">
        <v>293</v>
      </c>
    </row>
    <row r="60" customFormat="false" ht="22.35" hidden="false" customHeight="false" outlineLevel="0" collapsed="false">
      <c r="A60" s="5" t="s">
        <v>984</v>
      </c>
      <c r="B60" s="5" t="s">
        <v>284</v>
      </c>
      <c r="C60" s="5" t="s">
        <v>985</v>
      </c>
      <c r="D60" s="5" t="s">
        <v>976</v>
      </c>
      <c r="E60" s="5" t="s">
        <v>714</v>
      </c>
      <c r="F60" s="5" t="s">
        <v>986</v>
      </c>
      <c r="G60" s="5" t="n">
        <f aca="false">SUMPRODUCT(--ISNUMBER(SEARCH(A60,Backlog!$L$2:$L$58)))</f>
        <v>2</v>
      </c>
      <c r="H60" s="5" t="s">
        <v>987</v>
      </c>
      <c r="I60" s="5" t="s">
        <v>979</v>
      </c>
      <c r="J60" s="5"/>
      <c r="K60" s="5" t="s">
        <v>980</v>
      </c>
      <c r="L60" s="5" t="n">
        <f aca="false">SUMPRODUCT(--ISNUMBER(SEARCH(A60,Test_Cases!$D$2:$D$1000)))</f>
        <v>11</v>
      </c>
      <c r="M60" s="5" t="str">
        <f aca="false">IF(G60=0,"GAP - no function",IF(L60=0,"NO TEST",IF(L60&lt;3,"THIN","COVERED")))</f>
        <v>COVERED</v>
      </c>
      <c r="N60" s="5" t="s">
        <v>330</v>
      </c>
    </row>
    <row r="61" customFormat="false" ht="32.8" hidden="false" customHeight="false" outlineLevel="0" collapsed="false">
      <c r="A61" s="5" t="s">
        <v>988</v>
      </c>
      <c r="B61" s="5" t="s">
        <v>284</v>
      </c>
      <c r="C61" s="5" t="s">
        <v>989</v>
      </c>
      <c r="D61" s="5" t="s">
        <v>976</v>
      </c>
      <c r="E61" s="5" t="s">
        <v>714</v>
      </c>
      <c r="F61" s="5" t="s">
        <v>990</v>
      </c>
      <c r="G61" s="5" t="n">
        <f aca="false">SUMPRODUCT(--ISNUMBER(SEARCH(A61,Backlog!$L$2:$L$58)))</f>
        <v>2</v>
      </c>
      <c r="H61" s="5" t="s">
        <v>991</v>
      </c>
      <c r="I61" s="5" t="s">
        <v>983</v>
      </c>
      <c r="J61" s="5"/>
      <c r="K61" s="5"/>
      <c r="L61" s="5" t="n">
        <f aca="false">SUMPRODUCT(--ISNUMBER(SEARCH(A61,Test_Cases!$D$2:$D$1000)))</f>
        <v>6</v>
      </c>
      <c r="M61" s="5" t="str">
        <f aca="false">IF(G61=0,"GAP - no function",IF(L61=0,"NO TEST",IF(L61&lt;3,"THIN","COVERED")))</f>
        <v>COVERED</v>
      </c>
      <c r="N61" s="5" t="s">
        <v>293</v>
      </c>
    </row>
    <row r="62" customFormat="false" ht="22.35" hidden="false" customHeight="false" outlineLevel="0" collapsed="false">
      <c r="A62" s="5" t="s">
        <v>992</v>
      </c>
      <c r="B62" s="5" t="s">
        <v>284</v>
      </c>
      <c r="C62" s="5" t="s">
        <v>993</v>
      </c>
      <c r="D62" s="5" t="s">
        <v>976</v>
      </c>
      <c r="E62" s="5" t="s">
        <v>714</v>
      </c>
      <c r="F62" s="5" t="s">
        <v>294</v>
      </c>
      <c r="G62" s="5" t="n">
        <f aca="false">SUMPRODUCT(--ISNUMBER(SEARCH(A62,Backlog!$L$2:$L$58)))</f>
        <v>1</v>
      </c>
      <c r="H62" s="5" t="s">
        <v>994</v>
      </c>
      <c r="I62" s="5" t="s">
        <v>983</v>
      </c>
      <c r="J62" s="5"/>
      <c r="K62" s="5"/>
      <c r="L62" s="5" t="n">
        <f aca="false">SUMPRODUCT(--ISNUMBER(SEARCH(A62,Test_Cases!$D$2:$D$1000)))</f>
        <v>3</v>
      </c>
      <c r="M62" s="5" t="str">
        <f aca="false">IF(G62=0,"GAP - no function",IF(L62=0,"NO TEST",IF(L62&lt;3,"THIN","COVERED")))</f>
        <v>COVERED</v>
      </c>
      <c r="N62" s="5" t="s">
        <v>293</v>
      </c>
    </row>
    <row r="63" customFormat="false" ht="32.8" hidden="false" customHeight="false" outlineLevel="0" collapsed="false">
      <c r="A63" s="5" t="s">
        <v>312</v>
      </c>
      <c r="B63" s="5" t="s">
        <v>284</v>
      </c>
      <c r="C63" s="5" t="s">
        <v>995</v>
      </c>
      <c r="D63" s="5" t="s">
        <v>976</v>
      </c>
      <c r="E63" s="5" t="s">
        <v>714</v>
      </c>
      <c r="F63" s="5" t="s">
        <v>996</v>
      </c>
      <c r="G63" s="5" t="n">
        <f aca="false">SUMPRODUCT(--ISNUMBER(SEARCH(A63,Backlog!$L$2:$L$58)))</f>
        <v>2</v>
      </c>
      <c r="H63" s="5" t="s">
        <v>997</v>
      </c>
      <c r="I63" s="5" t="s">
        <v>998</v>
      </c>
      <c r="J63" s="5"/>
      <c r="K63" s="5"/>
      <c r="L63" s="5" t="n">
        <f aca="false">SUMPRODUCT(--ISNUMBER(SEARCH(A63,Test_Cases!$D$2:$D$1000)))</f>
        <v>6</v>
      </c>
      <c r="M63" s="5" t="str">
        <f aca="false">IF(G63=0,"GAP - no function",IF(L63=0,"NO TEST",IF(L63&lt;3,"THIN","COVERED")))</f>
        <v>COVERED</v>
      </c>
      <c r="N63" s="5" t="s">
        <v>315</v>
      </c>
    </row>
    <row r="64" customFormat="false" ht="15" hidden="false" customHeight="false" outlineLevel="0" collapsed="false">
      <c r="A64" s="5" t="s">
        <v>352</v>
      </c>
      <c r="B64" s="5" t="s">
        <v>284</v>
      </c>
      <c r="C64" s="5" t="s">
        <v>999</v>
      </c>
      <c r="D64" s="5" t="s">
        <v>976</v>
      </c>
      <c r="E64" s="5" t="s">
        <v>749</v>
      </c>
      <c r="F64" s="5" t="s">
        <v>348</v>
      </c>
      <c r="G64" s="5" t="n">
        <f aca="false">SUMPRODUCT(--ISNUMBER(SEARCH(A64,Backlog!$L$2:$L$58)))</f>
        <v>1</v>
      </c>
      <c r="H64" s="5" t="s">
        <v>1000</v>
      </c>
      <c r="I64" s="5" t="s">
        <v>325</v>
      </c>
      <c r="J64" s="5"/>
      <c r="K64" s="5"/>
      <c r="L64" s="5" t="n">
        <f aca="false">SUMPRODUCT(--ISNUMBER(SEARCH(A64,Test_Cases!$D$2:$D$1000)))</f>
        <v>3</v>
      </c>
      <c r="M64" s="5" t="str">
        <f aca="false">IF(G64=0,"GAP - no function",IF(L64=0,"NO TEST",IF(L64&lt;3,"THIN","COVERED")))</f>
        <v>COVERED</v>
      </c>
      <c r="N64" s="5" t="s">
        <v>293</v>
      </c>
    </row>
    <row r="65" customFormat="false" ht="22.35" hidden="false" customHeight="false" outlineLevel="0" collapsed="false">
      <c r="A65" s="5" t="s">
        <v>1001</v>
      </c>
      <c r="B65" s="5" t="s">
        <v>516</v>
      </c>
      <c r="C65" s="5" t="s">
        <v>1002</v>
      </c>
      <c r="D65" s="5" t="s">
        <v>520</v>
      </c>
      <c r="E65" s="5" t="s">
        <v>741</v>
      </c>
      <c r="F65" s="5" t="s">
        <v>515</v>
      </c>
      <c r="G65" s="5" t="n">
        <f aca="false">SUMPRODUCT(--ISNUMBER(SEARCH(A65,Backlog!$L$2:$L$58)))</f>
        <v>1</v>
      </c>
      <c r="H65" s="5" t="s">
        <v>1003</v>
      </c>
      <c r="I65" s="5" t="s">
        <v>1004</v>
      </c>
      <c r="J65" s="5" t="s">
        <v>1005</v>
      </c>
      <c r="K65" s="5" t="s">
        <v>1006</v>
      </c>
      <c r="L65" s="5" t="n">
        <f aca="false">SUMPRODUCT(--ISNUMBER(SEARCH(A65,Test_Cases!$D$2:$D$1000)))</f>
        <v>5</v>
      </c>
      <c r="M65" s="5" t="str">
        <f aca="false">IF(G65=0,"GAP - no function",IF(L65=0,"NO TEST",IF(L65&lt;3,"THIN","COVERED")))</f>
        <v>COVERED</v>
      </c>
      <c r="N65" s="5" t="s">
        <v>529</v>
      </c>
    </row>
    <row r="66" customFormat="false" ht="22.35" hidden="false" customHeight="false" outlineLevel="0" collapsed="false">
      <c r="A66" s="5" t="s">
        <v>533</v>
      </c>
      <c r="B66" s="5" t="s">
        <v>516</v>
      </c>
      <c r="C66" s="5" t="s">
        <v>1007</v>
      </c>
      <c r="D66" s="5" t="s">
        <v>520</v>
      </c>
      <c r="E66" s="5" t="s">
        <v>741</v>
      </c>
      <c r="F66" s="5" t="s">
        <v>1008</v>
      </c>
      <c r="G66" s="5" t="n">
        <f aca="false">SUMPRODUCT(--ISNUMBER(SEARCH(A66,Backlog!$L$2:$L$58)))</f>
        <v>2</v>
      </c>
      <c r="H66" s="5" t="s">
        <v>1009</v>
      </c>
      <c r="I66" s="5" t="s">
        <v>1004</v>
      </c>
      <c r="J66" s="5" t="s">
        <v>1005</v>
      </c>
      <c r="K66" s="5" t="s">
        <v>1010</v>
      </c>
      <c r="L66" s="5" t="n">
        <f aca="false">SUMPRODUCT(--ISNUMBER(SEARCH(A66,Test_Cases!$D$2:$D$1000)))</f>
        <v>10</v>
      </c>
      <c r="M66" s="5" t="str">
        <f aca="false">IF(G66=0,"GAP - no function",IF(L66=0,"NO TEST",IF(L66&lt;3,"THIN","COVERED")))</f>
        <v>COVERED</v>
      </c>
      <c r="N66" s="5" t="s">
        <v>529</v>
      </c>
    </row>
    <row r="67" customFormat="false" ht="22.35" hidden="false" customHeight="false" outlineLevel="0" collapsed="false">
      <c r="A67" s="5" t="s">
        <v>1011</v>
      </c>
      <c r="B67" s="5" t="s">
        <v>516</v>
      </c>
      <c r="C67" s="5" t="s">
        <v>1012</v>
      </c>
      <c r="D67" s="5" t="s">
        <v>520</v>
      </c>
      <c r="E67" s="5" t="s">
        <v>741</v>
      </c>
      <c r="F67" s="5" t="s">
        <v>515</v>
      </c>
      <c r="G67" s="5" t="n">
        <f aca="false">SUMPRODUCT(--ISNUMBER(SEARCH(A67,Backlog!$L$2:$L$58)))</f>
        <v>1</v>
      </c>
      <c r="H67" s="5" t="s">
        <v>1003</v>
      </c>
      <c r="I67" s="5" t="s">
        <v>1004</v>
      </c>
      <c r="J67" s="5" t="s">
        <v>1005</v>
      </c>
      <c r="K67" s="5" t="s">
        <v>1006</v>
      </c>
      <c r="L67" s="5" t="n">
        <f aca="false">SUMPRODUCT(--ISNUMBER(SEARCH(A67,Test_Cases!$D$2:$D$1000)))</f>
        <v>4</v>
      </c>
      <c r="M67" s="5" t="str">
        <f aca="false">IF(G67=0,"GAP - no function",IF(L67=0,"NO TEST",IF(L67&lt;3,"THIN","COVERED")))</f>
        <v>COVERED</v>
      </c>
      <c r="N67" s="5" t="s">
        <v>529</v>
      </c>
    </row>
    <row r="68" customFormat="false" ht="53.7" hidden="false" customHeight="false" outlineLevel="0" collapsed="false">
      <c r="A68" s="5" t="s">
        <v>563</v>
      </c>
      <c r="B68" s="5" t="s">
        <v>540</v>
      </c>
      <c r="C68" s="5" t="s">
        <v>1013</v>
      </c>
      <c r="D68" s="5" t="s">
        <v>562</v>
      </c>
      <c r="E68" s="5" t="s">
        <v>714</v>
      </c>
      <c r="F68" s="5" t="s">
        <v>1014</v>
      </c>
      <c r="G68" s="5" t="n">
        <f aca="false">SUMPRODUCT(--ISNUMBER(SEARCH(A68,Backlog!$L$2:$L$58)))</f>
        <v>2</v>
      </c>
      <c r="H68" s="5" t="s">
        <v>1015</v>
      </c>
      <c r="I68" s="5" t="s">
        <v>764</v>
      </c>
      <c r="J68" s="5" t="s">
        <v>758</v>
      </c>
      <c r="K68" s="5" t="s">
        <v>722</v>
      </c>
      <c r="L68" s="5" t="n">
        <f aca="false">SUMPRODUCT(--ISNUMBER(SEARCH(A68,Test_Cases!$D$2:$D$1000)))</f>
        <v>19</v>
      </c>
      <c r="M68" s="5" t="str">
        <f aca="false">IF(G68=0,"GAP - no function",IF(L68=0,"NO TEST",IF(L68&lt;3,"THIN","COVERED")))</f>
        <v>COVERED</v>
      </c>
      <c r="N68" s="5" t="s">
        <v>214</v>
      </c>
    </row>
    <row r="69" customFormat="false" ht="15" hidden="false" customHeight="false" outlineLevel="0" collapsed="false">
      <c r="A69" s="5" t="s">
        <v>1016</v>
      </c>
      <c r="B69" s="5" t="s">
        <v>540</v>
      </c>
      <c r="C69" s="5" t="s">
        <v>1017</v>
      </c>
      <c r="D69" s="5" t="s">
        <v>571</v>
      </c>
      <c r="E69" s="5" t="s">
        <v>714</v>
      </c>
      <c r="F69" s="5" t="s">
        <v>558</v>
      </c>
      <c r="G69" s="5" t="n">
        <f aca="false">SUMPRODUCT(--ISNUMBER(SEARCH(A69,Backlog!$L$2:$L$58)))</f>
        <v>1</v>
      </c>
      <c r="H69" s="5" t="s">
        <v>1018</v>
      </c>
      <c r="I69" s="5" t="s">
        <v>573</v>
      </c>
      <c r="J69" s="5" t="s">
        <v>575</v>
      </c>
      <c r="K69" s="5" t="s">
        <v>574</v>
      </c>
      <c r="L69" s="5" t="n">
        <f aca="false">SUMPRODUCT(--ISNUMBER(SEARCH(A69,Test_Cases!$D$2:$D$1000)))</f>
        <v>4</v>
      </c>
      <c r="M69" s="5" t="str">
        <f aca="false">IF(G69=0,"GAP - no function",IF(L69=0,"NO TEST",IF(L69&lt;3,"THIN","COVERED")))</f>
        <v>COVERED</v>
      </c>
      <c r="N69" s="5" t="s">
        <v>578</v>
      </c>
    </row>
    <row r="70" customFormat="false" ht="22.35" hidden="false" customHeight="false" outlineLevel="0" collapsed="false">
      <c r="A70" s="5" t="s">
        <v>1019</v>
      </c>
      <c r="B70" s="5" t="s">
        <v>540</v>
      </c>
      <c r="C70" s="5" t="s">
        <v>1020</v>
      </c>
      <c r="D70" s="5" t="s">
        <v>1021</v>
      </c>
      <c r="E70" s="5" t="s">
        <v>714</v>
      </c>
      <c r="F70" s="5" t="s">
        <v>1022</v>
      </c>
      <c r="G70" s="5" t="n">
        <f aca="false">SUMPRODUCT(--ISNUMBER(SEARCH(A70,Backlog!$L$2:$L$58)))</f>
        <v>2</v>
      </c>
      <c r="H70" s="5" t="s">
        <v>1023</v>
      </c>
      <c r="I70" s="5" t="s">
        <v>747</v>
      </c>
      <c r="J70" s="5" t="s">
        <v>178</v>
      </c>
      <c r="K70" s="5" t="s">
        <v>177</v>
      </c>
      <c r="L70" s="5" t="n">
        <f aca="false">SUMPRODUCT(--ISNUMBER(SEARCH(A70,Test_Cases!$D$2:$D$1000)))</f>
        <v>7</v>
      </c>
      <c r="M70" s="5" t="str">
        <f aca="false">IF(G70=0,"GAP - no function",IF(L70=0,"NO TEST",IF(L70&lt;3,"THIN","COVERED")))</f>
        <v>COVERED</v>
      </c>
      <c r="N70" s="5" t="s">
        <v>158</v>
      </c>
    </row>
    <row r="71" customFormat="false" ht="22.35" hidden="false" customHeight="false" outlineLevel="0" collapsed="false">
      <c r="A71" s="5" t="s">
        <v>583</v>
      </c>
      <c r="B71" s="5" t="s">
        <v>540</v>
      </c>
      <c r="C71" s="5" t="s">
        <v>1024</v>
      </c>
      <c r="D71" s="5" t="s">
        <v>582</v>
      </c>
      <c r="E71" s="5" t="s">
        <v>714</v>
      </c>
      <c r="F71" s="5" t="s">
        <v>579</v>
      </c>
      <c r="G71" s="5" t="n">
        <f aca="false">SUMPRODUCT(--ISNUMBER(SEARCH(A71,Backlog!$L$2:$L$58)))</f>
        <v>1</v>
      </c>
      <c r="H71" s="5" t="s">
        <v>1025</v>
      </c>
      <c r="I71" s="5" t="s">
        <v>1026</v>
      </c>
      <c r="J71" s="5" t="s">
        <v>587</v>
      </c>
      <c r="K71" s="5" t="s">
        <v>1027</v>
      </c>
      <c r="L71" s="5" t="n">
        <f aca="false">SUMPRODUCT(--ISNUMBER(SEARCH(A71,Test_Cases!$D$2:$D$1000)))</f>
        <v>4</v>
      </c>
      <c r="M71" s="5" t="str">
        <f aca="false">IF(G71=0,"GAP - no function",IF(L71=0,"NO TEST",IF(L71&lt;3,"THIN","COVERED")))</f>
        <v>COVERED</v>
      </c>
      <c r="N71" s="5" t="s">
        <v>590</v>
      </c>
    </row>
    <row r="72" customFormat="false" ht="15" hidden="false" customHeight="false" outlineLevel="0" collapsed="false">
      <c r="A72" s="5" t="s">
        <v>1028</v>
      </c>
      <c r="B72" s="5" t="s">
        <v>540</v>
      </c>
      <c r="C72" s="5" t="s">
        <v>1029</v>
      </c>
      <c r="D72" s="5" t="s">
        <v>543</v>
      </c>
      <c r="E72" s="5" t="s">
        <v>714</v>
      </c>
      <c r="F72" s="5" t="s">
        <v>539</v>
      </c>
      <c r="G72" s="5" t="n">
        <f aca="false">SUMPRODUCT(--ISNUMBER(SEARCH(A72,Backlog!$L$2:$L$58)))</f>
        <v>1</v>
      </c>
      <c r="H72" s="5" t="s">
        <v>1030</v>
      </c>
      <c r="I72" s="5" t="s">
        <v>545</v>
      </c>
      <c r="J72" s="5"/>
      <c r="K72" s="5"/>
      <c r="L72" s="5" t="n">
        <f aca="false">SUMPRODUCT(--ISNUMBER(SEARCH(A72,Test_Cases!$D$2:$D$1000)))</f>
        <v>3</v>
      </c>
      <c r="M72" s="5" t="str">
        <f aca="false">IF(G72=0,"GAP - no function",IF(L72=0,"NO TEST",IF(L72&lt;3,"THIN","COVERED")))</f>
        <v>COVERED</v>
      </c>
      <c r="N72" s="5" t="s">
        <v>548</v>
      </c>
    </row>
    <row r="73" customFormat="false" ht="15" hidden="false" customHeight="false" outlineLevel="0" collapsed="false">
      <c r="A73" s="5" t="s">
        <v>635</v>
      </c>
      <c r="B73" s="5" t="s">
        <v>540</v>
      </c>
      <c r="C73" s="5" t="s">
        <v>1031</v>
      </c>
      <c r="D73" s="5" t="s">
        <v>1032</v>
      </c>
      <c r="E73" s="5" t="s">
        <v>741</v>
      </c>
      <c r="F73" s="5" t="s">
        <v>60</v>
      </c>
      <c r="G73" s="5" t="n">
        <f aca="false">SUMPRODUCT(--ISNUMBER(SEARCH(A73,Backlog!$L$2:$L$58)))</f>
        <v>1</v>
      </c>
      <c r="H73" s="5" t="s">
        <v>1033</v>
      </c>
      <c r="I73" s="5" t="s">
        <v>131</v>
      </c>
      <c r="J73" s="5" t="s">
        <v>636</v>
      </c>
      <c r="K73" s="5"/>
      <c r="L73" s="5" t="n">
        <f aca="false">SUMPRODUCT(--ISNUMBER(SEARCH(A73,Test_Cases!$D$2:$D$1000)))</f>
        <v>3</v>
      </c>
      <c r="M73" s="5" t="str">
        <f aca="false">IF(G73=0,"GAP - no function",IF(L73=0,"NO TEST",IF(L73&lt;3,"THIN","COVERED")))</f>
        <v>COVERED</v>
      </c>
      <c r="N73" s="5" t="s">
        <v>639</v>
      </c>
    </row>
    <row r="74" customFormat="false" ht="32.8" hidden="false" customHeight="false" outlineLevel="0" collapsed="false">
      <c r="A74" s="5" t="s">
        <v>1034</v>
      </c>
      <c r="B74" s="5" t="s">
        <v>540</v>
      </c>
      <c r="C74" s="5" t="s">
        <v>1035</v>
      </c>
      <c r="D74" s="5" t="s">
        <v>876</v>
      </c>
      <c r="E74" s="5" t="s">
        <v>714</v>
      </c>
      <c r="F74" s="5" t="s">
        <v>870</v>
      </c>
      <c r="G74" s="5" t="n">
        <f aca="false">SUMPRODUCT(--ISNUMBER(SEARCH(A74,Backlog!$L$2:$L$58)))</f>
        <v>2</v>
      </c>
      <c r="H74" s="5" t="s">
        <v>871</v>
      </c>
      <c r="I74" s="5" t="s">
        <v>842</v>
      </c>
      <c r="J74" s="5" t="s">
        <v>872</v>
      </c>
      <c r="K74" s="5" t="s">
        <v>873</v>
      </c>
      <c r="L74" s="5" t="n">
        <f aca="false">SUMPRODUCT(--ISNUMBER(SEARCH(A74,Test_Cases!$D$2:$D$1000)))</f>
        <v>10</v>
      </c>
      <c r="M74" s="5" t="str">
        <f aca="false">IF(G74=0,"GAP - no function",IF(L74=0,"NO TEST",IF(L74&lt;3,"THIN","COVERED")))</f>
        <v>COVERED</v>
      </c>
      <c r="N74" s="5"/>
    </row>
    <row r="75" customFormat="false" ht="22.35" hidden="false" customHeight="false" outlineLevel="0" collapsed="false">
      <c r="A75" s="5" t="s">
        <v>1036</v>
      </c>
      <c r="B75" s="5" t="s">
        <v>540</v>
      </c>
      <c r="C75" s="5" t="s">
        <v>1037</v>
      </c>
      <c r="D75" s="5" t="s">
        <v>1021</v>
      </c>
      <c r="E75" s="5" t="s">
        <v>714</v>
      </c>
      <c r="F75" s="5" t="s">
        <v>377</v>
      </c>
      <c r="G75" s="5" t="n">
        <f aca="false">SUMPRODUCT(--ISNUMBER(SEARCH(A75,Backlog!$L$2:$L$58)))</f>
        <v>1</v>
      </c>
      <c r="H75" s="5" t="s">
        <v>1038</v>
      </c>
      <c r="I75" s="5" t="s">
        <v>1039</v>
      </c>
      <c r="J75" s="5" t="s">
        <v>554</v>
      </c>
      <c r="K75" s="5"/>
      <c r="L75" s="5" t="n">
        <f aca="false">SUMPRODUCT(--ISNUMBER(SEARCH(A75,Test_Cases!$D$2:$D$1000)))</f>
        <v>3</v>
      </c>
      <c r="M75" s="5" t="str">
        <f aca="false">IF(G75=0,"GAP - no function",IF(L75=0,"NO TEST",IF(L75&lt;3,"THIN","COVERED")))</f>
        <v>COVERED</v>
      </c>
      <c r="N75" s="5"/>
    </row>
    <row r="76" customFormat="false" ht="15" hidden="false" customHeight="false" outlineLevel="0" collapsed="false">
      <c r="A76" s="5" t="s">
        <v>1040</v>
      </c>
      <c r="B76" s="5" t="s">
        <v>540</v>
      </c>
      <c r="C76" s="5" t="s">
        <v>1041</v>
      </c>
      <c r="D76" s="5" t="s">
        <v>1042</v>
      </c>
      <c r="E76" s="5" t="s">
        <v>741</v>
      </c>
      <c r="F76" s="5" t="s">
        <v>558</v>
      </c>
      <c r="G76" s="5" t="n">
        <f aca="false">SUMPRODUCT(--ISNUMBER(SEARCH(A76,Backlog!$L$2:$L$58)))</f>
        <v>1</v>
      </c>
      <c r="H76" s="5" t="s">
        <v>1018</v>
      </c>
      <c r="I76" s="5" t="s">
        <v>573</v>
      </c>
      <c r="J76" s="5" t="s">
        <v>575</v>
      </c>
      <c r="K76" s="5" t="s">
        <v>574</v>
      </c>
      <c r="L76" s="5" t="n">
        <f aca="false">SUMPRODUCT(--ISNUMBER(SEARCH(A76,Test_Cases!$D$2:$D$1000)))</f>
        <v>3</v>
      </c>
      <c r="M76" s="5" t="str">
        <f aca="false">IF(G76=0,"GAP - no function",IF(L76=0,"NO TEST",IF(L76&lt;3,"THIN","COVERED")))</f>
        <v>COVERED</v>
      </c>
      <c r="N76" s="5" t="s">
        <v>578</v>
      </c>
    </row>
    <row r="77" customFormat="false" ht="15" hidden="false" customHeight="false" outlineLevel="0" collapsed="false">
      <c r="A77" s="5" t="s">
        <v>1043</v>
      </c>
      <c r="B77" s="5" t="s">
        <v>540</v>
      </c>
      <c r="C77" s="5" t="s">
        <v>1044</v>
      </c>
      <c r="D77" s="5" t="s">
        <v>1021</v>
      </c>
      <c r="E77" s="5" t="s">
        <v>741</v>
      </c>
      <c r="F77" s="5" t="s">
        <v>181</v>
      </c>
      <c r="G77" s="5" t="n">
        <f aca="false">SUMPRODUCT(--ISNUMBER(SEARCH(A77,Backlog!$L$2:$L$58)))</f>
        <v>1</v>
      </c>
      <c r="H77" s="5" t="s">
        <v>1045</v>
      </c>
      <c r="I77" s="5" t="s">
        <v>619</v>
      </c>
      <c r="J77" s="5"/>
      <c r="K77" s="5"/>
      <c r="L77" s="5" t="n">
        <f aca="false">SUMPRODUCT(--ISNUMBER(SEARCH(A77,Test_Cases!$D$2:$D$1000)))</f>
        <v>3</v>
      </c>
      <c r="M77" s="5" t="str">
        <f aca="false">IF(G77=0,"GAP - no function",IF(L77=0,"NO TEST",IF(L77&lt;3,"THIN","COVERED")))</f>
        <v>COVERED</v>
      </c>
      <c r="N77" s="5" t="s">
        <v>158</v>
      </c>
    </row>
  </sheetData>
  <autoFilter ref="A1:N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48"/>
    <col collapsed="false" customWidth="true" hidden="false" outlineLevel="0" max="9" min="9" style="0" width="56"/>
    <col collapsed="false" customWidth="true" hidden="false" outlineLevel="0" max="10" min="10" style="0" width="36"/>
    <col collapsed="false" customWidth="true" hidden="false" outlineLevel="0" max="11" min="11" style="0" width="38"/>
    <col collapsed="false" customWidth="true" hidden="false" outlineLevel="0" max="12" min="12" style="0" width="11"/>
  </cols>
  <sheetData>
    <row r="1" customFormat="false" ht="31.5" hidden="false" customHeight="true" outlineLevel="0" collapsed="false">
      <c r="A1" s="4" t="s">
        <v>19</v>
      </c>
      <c r="B1" s="4" t="s">
        <v>22</v>
      </c>
      <c r="C1" s="4" t="s">
        <v>1046</v>
      </c>
      <c r="D1" s="4" t="s">
        <v>1047</v>
      </c>
      <c r="E1" s="4" t="s">
        <v>1048</v>
      </c>
      <c r="F1" s="4" t="s">
        <v>31</v>
      </c>
      <c r="G1" s="4" t="s">
        <v>1049</v>
      </c>
      <c r="H1" s="4" t="s">
        <v>1050</v>
      </c>
      <c r="I1" s="4" t="s">
        <v>1051</v>
      </c>
      <c r="J1" s="4" t="s">
        <v>1052</v>
      </c>
      <c r="K1" s="4" t="s">
        <v>1053</v>
      </c>
      <c r="L1" s="4" t="s">
        <v>1054</v>
      </c>
    </row>
    <row r="2" customFormat="false" ht="74.6" hidden="false" customHeight="false" outlineLevel="0" collapsed="false">
      <c r="A2" s="5" t="s">
        <v>44</v>
      </c>
      <c r="B2" s="5" t="s">
        <v>47</v>
      </c>
      <c r="C2" s="5" t="s">
        <v>1055</v>
      </c>
      <c r="D2" s="5" t="s">
        <v>1056</v>
      </c>
      <c r="E2" s="5" t="s">
        <v>46</v>
      </c>
      <c r="F2" s="5" t="s">
        <v>55</v>
      </c>
      <c r="G2" s="5" t="s">
        <v>99</v>
      </c>
      <c r="H2" s="5" t="s">
        <v>1057</v>
      </c>
      <c r="I2" s="5" t="s">
        <v>1058</v>
      </c>
      <c r="J2" s="5" t="s">
        <v>1059</v>
      </c>
      <c r="K2" s="5"/>
      <c r="L2" s="5" t="s">
        <v>51</v>
      </c>
    </row>
    <row r="3" customFormat="false" ht="189.55" hidden="false" customHeight="false" outlineLevel="0" collapsed="false">
      <c r="A3" s="5" t="s">
        <v>62</v>
      </c>
      <c r="B3" s="5" t="s">
        <v>47</v>
      </c>
      <c r="C3" s="5" t="s">
        <v>1060</v>
      </c>
      <c r="D3" s="5" t="s">
        <v>1061</v>
      </c>
      <c r="E3" s="5" t="s">
        <v>63</v>
      </c>
      <c r="F3" s="5" t="s">
        <v>69</v>
      </c>
      <c r="G3" s="5" t="s">
        <v>99</v>
      </c>
      <c r="H3" s="5" t="s">
        <v>1062</v>
      </c>
      <c r="I3" s="5" t="s">
        <v>1063</v>
      </c>
      <c r="J3" s="5" t="s">
        <v>1064</v>
      </c>
      <c r="K3" s="5" t="s">
        <v>76</v>
      </c>
      <c r="L3" s="5" t="s">
        <v>51</v>
      </c>
    </row>
    <row r="4" customFormat="false" ht="53.7" hidden="false" customHeight="false" outlineLevel="0" collapsed="false">
      <c r="A4" s="5" t="s">
        <v>78</v>
      </c>
      <c r="B4" s="5" t="s">
        <v>47</v>
      </c>
      <c r="C4" s="5" t="s">
        <v>1065</v>
      </c>
      <c r="D4" s="5" t="s">
        <v>1066</v>
      </c>
      <c r="E4" s="5" t="s">
        <v>79</v>
      </c>
      <c r="F4" s="5" t="s">
        <v>69</v>
      </c>
      <c r="G4" s="5" t="s">
        <v>99</v>
      </c>
      <c r="H4" s="5" t="s">
        <v>1067</v>
      </c>
      <c r="I4" s="5" t="s">
        <v>1068</v>
      </c>
      <c r="J4" s="5" t="s">
        <v>1069</v>
      </c>
      <c r="K4" s="5" t="s">
        <v>90</v>
      </c>
      <c r="L4" s="5" t="s">
        <v>51</v>
      </c>
    </row>
    <row r="5" customFormat="false" ht="53.7" hidden="false" customHeight="false" outlineLevel="0" collapsed="false">
      <c r="A5" s="5" t="s">
        <v>91</v>
      </c>
      <c r="B5" s="5" t="s">
        <v>47</v>
      </c>
      <c r="C5" s="5" t="s">
        <v>1070</v>
      </c>
      <c r="D5" s="5" t="s">
        <v>1066</v>
      </c>
      <c r="E5" s="5" t="s">
        <v>92</v>
      </c>
      <c r="F5" s="5" t="s">
        <v>98</v>
      </c>
      <c r="G5" s="5" t="s">
        <v>99</v>
      </c>
      <c r="H5" s="5" t="s">
        <v>1071</v>
      </c>
      <c r="I5" s="5" t="s">
        <v>1072</v>
      </c>
      <c r="J5" s="5" t="s">
        <v>1073</v>
      </c>
      <c r="K5" s="5" t="s">
        <v>103</v>
      </c>
      <c r="L5" s="5" t="s">
        <v>51</v>
      </c>
    </row>
    <row r="6" customFormat="false" ht="32.8" hidden="false" customHeight="false" outlineLevel="0" collapsed="false">
      <c r="A6" s="5" t="s">
        <v>104</v>
      </c>
      <c r="B6" s="5" t="s">
        <v>47</v>
      </c>
      <c r="C6" s="5" t="s">
        <v>1060</v>
      </c>
      <c r="D6" s="5" t="s">
        <v>1074</v>
      </c>
      <c r="E6" s="5" t="s">
        <v>105</v>
      </c>
      <c r="F6" s="5" t="s">
        <v>98</v>
      </c>
      <c r="G6" s="5" t="s">
        <v>99</v>
      </c>
      <c r="H6" s="5" t="s">
        <v>1075</v>
      </c>
      <c r="I6" s="5" t="s">
        <v>1076</v>
      </c>
      <c r="J6" s="5" t="s">
        <v>1077</v>
      </c>
      <c r="K6" s="5" t="s">
        <v>112</v>
      </c>
      <c r="L6" s="5" t="s">
        <v>108</v>
      </c>
    </row>
    <row r="7" customFormat="false" ht="32.8" hidden="false" customHeight="false" outlineLevel="0" collapsed="false">
      <c r="A7" s="5" t="s">
        <v>113</v>
      </c>
      <c r="B7" s="5" t="s">
        <v>47</v>
      </c>
      <c r="C7" s="5" t="s">
        <v>1060</v>
      </c>
      <c r="D7" s="5" t="s">
        <v>1078</v>
      </c>
      <c r="E7" s="5" t="s">
        <v>114</v>
      </c>
      <c r="F7" s="5" t="s">
        <v>55</v>
      </c>
      <c r="G7" s="5" t="s">
        <v>99</v>
      </c>
      <c r="H7" s="5" t="s">
        <v>1079</v>
      </c>
      <c r="I7" s="5" t="s">
        <v>1080</v>
      </c>
      <c r="J7" s="5" t="s">
        <v>1081</v>
      </c>
      <c r="K7" s="5" t="s">
        <v>122</v>
      </c>
      <c r="L7" s="5" t="s">
        <v>51</v>
      </c>
    </row>
    <row r="8" customFormat="false" ht="22.35" hidden="false" customHeight="false" outlineLevel="0" collapsed="false">
      <c r="A8" s="5" t="s">
        <v>138</v>
      </c>
      <c r="B8" s="5" t="s">
        <v>47</v>
      </c>
      <c r="C8" s="5" t="s">
        <v>1055</v>
      </c>
      <c r="D8" s="5" t="s">
        <v>1082</v>
      </c>
      <c r="E8" s="5" t="s">
        <v>139</v>
      </c>
      <c r="F8" s="5" t="s">
        <v>55</v>
      </c>
      <c r="G8" s="5" t="s">
        <v>99</v>
      </c>
      <c r="H8" s="5" t="s">
        <v>1083</v>
      </c>
      <c r="I8" s="5" t="s">
        <v>1084</v>
      </c>
      <c r="J8" s="5" t="s">
        <v>1085</v>
      </c>
      <c r="K8" s="5"/>
      <c r="L8" s="5" t="s">
        <v>108</v>
      </c>
    </row>
    <row r="9" customFormat="false" ht="22.35" hidden="false" customHeight="false" outlineLevel="0" collapsed="false">
      <c r="A9" s="5" t="s">
        <v>159</v>
      </c>
      <c r="B9" s="5" t="s">
        <v>47</v>
      </c>
      <c r="C9" s="5" t="s">
        <v>1060</v>
      </c>
      <c r="D9" s="5" t="s">
        <v>1086</v>
      </c>
      <c r="E9" s="5" t="s">
        <v>160</v>
      </c>
      <c r="F9" s="5" t="s">
        <v>69</v>
      </c>
      <c r="G9" s="5" t="s">
        <v>99</v>
      </c>
      <c r="H9" s="5" t="s">
        <v>1087</v>
      </c>
      <c r="I9" s="5" t="s">
        <v>1088</v>
      </c>
      <c r="J9" s="5" t="s">
        <v>1089</v>
      </c>
      <c r="K9" s="5" t="s">
        <v>112</v>
      </c>
      <c r="L9" s="5" t="s">
        <v>51</v>
      </c>
    </row>
    <row r="10" customFormat="false" ht="74.6" hidden="false" customHeight="false" outlineLevel="0" collapsed="false">
      <c r="A10" s="5" t="s">
        <v>182</v>
      </c>
      <c r="B10" s="5" t="s">
        <v>47</v>
      </c>
      <c r="C10" s="5" t="s">
        <v>1060</v>
      </c>
      <c r="D10" s="5" t="s">
        <v>1090</v>
      </c>
      <c r="E10" s="5" t="s">
        <v>184</v>
      </c>
      <c r="F10" s="5" t="s">
        <v>189</v>
      </c>
      <c r="G10" s="5" t="s">
        <v>99</v>
      </c>
      <c r="H10" s="5" t="s">
        <v>1091</v>
      </c>
      <c r="I10" s="5" t="s">
        <v>1092</v>
      </c>
      <c r="J10" s="5" t="s">
        <v>1093</v>
      </c>
      <c r="K10" s="5" t="s">
        <v>194</v>
      </c>
      <c r="L10" s="5" t="s">
        <v>51</v>
      </c>
    </row>
    <row r="11" customFormat="false" ht="126.85" hidden="false" customHeight="false" outlineLevel="0" collapsed="false">
      <c r="A11" s="5" t="s">
        <v>197</v>
      </c>
      <c r="B11" s="5" t="s">
        <v>47</v>
      </c>
      <c r="C11" s="5" t="s">
        <v>1060</v>
      </c>
      <c r="D11" s="5" t="s">
        <v>1094</v>
      </c>
      <c r="E11" s="5" t="s">
        <v>198</v>
      </c>
      <c r="F11" s="5" t="s">
        <v>204</v>
      </c>
      <c r="G11" s="5" t="s">
        <v>1095</v>
      </c>
      <c r="H11" s="5" t="s">
        <v>1096</v>
      </c>
      <c r="I11" s="5" t="s">
        <v>1097</v>
      </c>
      <c r="J11" s="5" t="s">
        <v>1098</v>
      </c>
      <c r="K11" s="5" t="s">
        <v>212</v>
      </c>
      <c r="L11" s="5" t="s">
        <v>51</v>
      </c>
    </row>
    <row r="12" customFormat="false" ht="105.95" hidden="false" customHeight="false" outlineLevel="0" collapsed="false">
      <c r="A12" s="5" t="s">
        <v>215</v>
      </c>
      <c r="B12" s="5" t="s">
        <v>47</v>
      </c>
      <c r="C12" s="5" t="s">
        <v>1060</v>
      </c>
      <c r="D12" s="5" t="s">
        <v>1099</v>
      </c>
      <c r="E12" s="5" t="s">
        <v>216</v>
      </c>
      <c r="F12" s="5" t="s">
        <v>221</v>
      </c>
      <c r="G12" s="5" t="s">
        <v>1095</v>
      </c>
      <c r="H12" s="5" t="s">
        <v>1100</v>
      </c>
      <c r="I12" s="5" t="s">
        <v>1101</v>
      </c>
      <c r="J12" s="5" t="s">
        <v>1102</v>
      </c>
      <c r="K12" s="5" t="s">
        <v>228</v>
      </c>
      <c r="L12" s="5" t="s">
        <v>51</v>
      </c>
    </row>
    <row r="13" customFormat="false" ht="22.35" hidden="false" customHeight="false" outlineLevel="0" collapsed="false">
      <c r="A13" s="5" t="s">
        <v>231</v>
      </c>
      <c r="B13" s="5" t="s">
        <v>47</v>
      </c>
      <c r="C13" s="5" t="s">
        <v>1055</v>
      </c>
      <c r="D13" s="5" t="s">
        <v>1103</v>
      </c>
      <c r="E13" s="5" t="s">
        <v>232</v>
      </c>
      <c r="F13" s="5" t="s">
        <v>237</v>
      </c>
      <c r="G13" s="5" t="s">
        <v>99</v>
      </c>
      <c r="H13" s="5" t="s">
        <v>1104</v>
      </c>
      <c r="I13" s="5" t="s">
        <v>1105</v>
      </c>
      <c r="J13" s="5" t="s">
        <v>1106</v>
      </c>
      <c r="K13" s="5" t="s">
        <v>241</v>
      </c>
      <c r="L13" s="5" t="s">
        <v>108</v>
      </c>
    </row>
    <row r="14" customFormat="false" ht="32.8" hidden="false" customHeight="false" outlineLevel="0" collapsed="false">
      <c r="A14" s="5" t="s">
        <v>242</v>
      </c>
      <c r="B14" s="5" t="s">
        <v>47</v>
      </c>
      <c r="C14" s="5" t="s">
        <v>1060</v>
      </c>
      <c r="D14" s="5" t="s">
        <v>1107</v>
      </c>
      <c r="E14" s="5" t="s">
        <v>243</v>
      </c>
      <c r="F14" s="5" t="s">
        <v>248</v>
      </c>
      <c r="G14" s="5" t="s">
        <v>99</v>
      </c>
      <c r="H14" s="5" t="s">
        <v>1108</v>
      </c>
      <c r="I14" s="5" t="s">
        <v>1109</v>
      </c>
      <c r="J14" s="5" t="s">
        <v>1110</v>
      </c>
      <c r="K14" s="5" t="s">
        <v>254</v>
      </c>
      <c r="L14" s="5" t="s">
        <v>108</v>
      </c>
    </row>
    <row r="15" customFormat="false" ht="64.15" hidden="false" customHeight="false" outlineLevel="0" collapsed="false">
      <c r="A15" s="5" t="s">
        <v>283</v>
      </c>
      <c r="B15" s="5" t="s">
        <v>47</v>
      </c>
      <c r="C15" s="5" t="s">
        <v>1055</v>
      </c>
      <c r="D15" s="5" t="s">
        <v>1111</v>
      </c>
      <c r="E15" s="5" t="s">
        <v>285</v>
      </c>
      <c r="F15" s="5" t="s">
        <v>55</v>
      </c>
      <c r="G15" s="5" t="s">
        <v>99</v>
      </c>
      <c r="H15" s="5" t="s">
        <v>1112</v>
      </c>
      <c r="I15" s="5" t="s">
        <v>1113</v>
      </c>
      <c r="J15" s="5" t="s">
        <v>1114</v>
      </c>
      <c r="K15" s="5" t="s">
        <v>292</v>
      </c>
      <c r="L15" s="5" t="s">
        <v>108</v>
      </c>
    </row>
    <row r="16" customFormat="false" ht="22.35" hidden="false" customHeight="false" outlineLevel="0" collapsed="false">
      <c r="A16" s="5" t="s">
        <v>316</v>
      </c>
      <c r="B16" s="5" t="s">
        <v>47</v>
      </c>
      <c r="C16" s="5" t="s">
        <v>1060</v>
      </c>
      <c r="D16" s="5" t="s">
        <v>1115</v>
      </c>
      <c r="E16" s="5" t="s">
        <v>317</v>
      </c>
      <c r="F16" s="5" t="s">
        <v>323</v>
      </c>
      <c r="G16" s="5" t="s">
        <v>99</v>
      </c>
      <c r="H16" s="5" t="s">
        <v>1116</v>
      </c>
      <c r="I16" s="5" t="s">
        <v>1116</v>
      </c>
      <c r="J16" s="5" t="s">
        <v>1116</v>
      </c>
      <c r="K16" s="5" t="s">
        <v>329</v>
      </c>
      <c r="L16" s="5" t="s">
        <v>319</v>
      </c>
    </row>
    <row r="17" customFormat="false" ht="32.8" hidden="false" customHeight="false" outlineLevel="0" collapsed="false">
      <c r="A17" s="5" t="s">
        <v>331</v>
      </c>
      <c r="B17" s="5" t="s">
        <v>47</v>
      </c>
      <c r="C17" s="5" t="s">
        <v>1065</v>
      </c>
      <c r="D17" s="5" t="s">
        <v>1117</v>
      </c>
      <c r="E17" s="5" t="s">
        <v>332</v>
      </c>
      <c r="F17" s="5" t="s">
        <v>336</v>
      </c>
      <c r="G17" s="5" t="s">
        <v>99</v>
      </c>
      <c r="H17" s="5" t="s">
        <v>1116</v>
      </c>
      <c r="I17" s="5" t="s">
        <v>1116</v>
      </c>
      <c r="J17" s="5" t="s">
        <v>1116</v>
      </c>
      <c r="K17" s="5" t="s">
        <v>340</v>
      </c>
      <c r="L17" s="5" t="s">
        <v>319</v>
      </c>
    </row>
    <row r="18" customFormat="false" ht="22.35" hidden="false" customHeight="false" outlineLevel="0" collapsed="false">
      <c r="A18" s="5" t="s">
        <v>341</v>
      </c>
      <c r="B18" s="5" t="s">
        <v>47</v>
      </c>
      <c r="C18" s="5" t="s">
        <v>1055</v>
      </c>
      <c r="D18" s="5" t="s">
        <v>1115</v>
      </c>
      <c r="E18" s="5" t="s">
        <v>342</v>
      </c>
      <c r="F18" s="5" t="s">
        <v>345</v>
      </c>
      <c r="G18" s="5" t="s">
        <v>99</v>
      </c>
      <c r="H18" s="5" t="s">
        <v>1116</v>
      </c>
      <c r="I18" s="5" t="s">
        <v>1116</v>
      </c>
      <c r="J18" s="5" t="s">
        <v>1116</v>
      </c>
      <c r="K18" s="5" t="s">
        <v>347</v>
      </c>
      <c r="L18" s="5" t="s">
        <v>319</v>
      </c>
    </row>
    <row r="19" customFormat="false" ht="43.25" hidden="false" customHeight="false" outlineLevel="0" collapsed="false">
      <c r="A19" s="5" t="s">
        <v>355</v>
      </c>
      <c r="B19" s="5" t="s">
        <v>47</v>
      </c>
      <c r="C19" s="5" t="s">
        <v>1055</v>
      </c>
      <c r="D19" s="5" t="s">
        <v>1118</v>
      </c>
      <c r="E19" s="5" t="s">
        <v>357</v>
      </c>
      <c r="F19" s="5" t="s">
        <v>361</v>
      </c>
      <c r="G19" s="5" t="s">
        <v>99</v>
      </c>
      <c r="H19" s="5" t="s">
        <v>1119</v>
      </c>
      <c r="I19" s="5" t="s">
        <v>1120</v>
      </c>
      <c r="J19" s="5" t="s">
        <v>1121</v>
      </c>
      <c r="K19" s="5" t="s">
        <v>365</v>
      </c>
      <c r="L19" s="5" t="s">
        <v>108</v>
      </c>
    </row>
    <row r="20" customFormat="false" ht="116.4" hidden="false" customHeight="false" outlineLevel="0" collapsed="false">
      <c r="A20" s="5" t="s">
        <v>367</v>
      </c>
      <c r="B20" s="5" t="s">
        <v>47</v>
      </c>
      <c r="C20" s="5" t="s">
        <v>1055</v>
      </c>
      <c r="D20" s="5" t="s">
        <v>1122</v>
      </c>
      <c r="E20" s="5" t="s">
        <v>368</v>
      </c>
      <c r="F20" s="5" t="s">
        <v>372</v>
      </c>
      <c r="G20" s="5" t="s">
        <v>99</v>
      </c>
      <c r="H20" s="5" t="s">
        <v>1123</v>
      </c>
      <c r="I20" s="5" t="s">
        <v>1124</v>
      </c>
      <c r="J20" s="5" t="s">
        <v>1125</v>
      </c>
      <c r="K20" s="5" t="s">
        <v>376</v>
      </c>
      <c r="L20" s="5" t="s">
        <v>108</v>
      </c>
    </row>
    <row r="21" customFormat="false" ht="64.15" hidden="false" customHeight="false" outlineLevel="0" collapsed="false">
      <c r="A21" s="5" t="s">
        <v>378</v>
      </c>
      <c r="B21" s="5" t="s">
        <v>47</v>
      </c>
      <c r="C21" s="5" t="s">
        <v>1055</v>
      </c>
      <c r="D21" s="5" t="s">
        <v>1126</v>
      </c>
      <c r="E21" s="5" t="s">
        <v>379</v>
      </c>
      <c r="F21" s="5" t="s">
        <v>382</v>
      </c>
      <c r="G21" s="5" t="s">
        <v>99</v>
      </c>
      <c r="H21" s="5" t="s">
        <v>1127</v>
      </c>
      <c r="I21" s="5" t="s">
        <v>1128</v>
      </c>
      <c r="J21" s="5" t="s">
        <v>1129</v>
      </c>
      <c r="K21" s="5" t="s">
        <v>365</v>
      </c>
      <c r="L21" s="5" t="s">
        <v>108</v>
      </c>
    </row>
    <row r="22" customFormat="false" ht="32.8" hidden="false" customHeight="false" outlineLevel="0" collapsed="false">
      <c r="A22" s="5" t="s">
        <v>385</v>
      </c>
      <c r="B22" s="5" t="s">
        <v>47</v>
      </c>
      <c r="C22" s="5" t="s">
        <v>1060</v>
      </c>
      <c r="D22" s="5" t="s">
        <v>1130</v>
      </c>
      <c r="E22" s="5" t="s">
        <v>386</v>
      </c>
      <c r="F22" s="5" t="s">
        <v>391</v>
      </c>
      <c r="G22" s="5" t="s">
        <v>99</v>
      </c>
      <c r="H22" s="5" t="s">
        <v>1131</v>
      </c>
      <c r="I22" s="5" t="s">
        <v>1132</v>
      </c>
      <c r="J22" s="5" t="s">
        <v>1133</v>
      </c>
      <c r="K22" s="5" t="s">
        <v>397</v>
      </c>
      <c r="L22" s="5" t="s">
        <v>108</v>
      </c>
    </row>
    <row r="23" customFormat="false" ht="32.8" hidden="false" customHeight="false" outlineLevel="0" collapsed="false">
      <c r="A23" s="5" t="s">
        <v>399</v>
      </c>
      <c r="B23" s="5" t="s">
        <v>47</v>
      </c>
      <c r="C23" s="5" t="s">
        <v>1060</v>
      </c>
      <c r="D23" s="5" t="s">
        <v>1134</v>
      </c>
      <c r="E23" s="5" t="s">
        <v>400</v>
      </c>
      <c r="F23" s="5" t="s">
        <v>405</v>
      </c>
      <c r="G23" s="5" t="s">
        <v>99</v>
      </c>
      <c r="H23" s="5" t="s">
        <v>1135</v>
      </c>
      <c r="I23" s="5" t="s">
        <v>1109</v>
      </c>
      <c r="J23" s="5" t="s">
        <v>1136</v>
      </c>
      <c r="K23" s="5" t="s">
        <v>411</v>
      </c>
      <c r="L23" s="5" t="s">
        <v>51</v>
      </c>
    </row>
    <row r="24" customFormat="false" ht="116.4" hidden="false" customHeight="false" outlineLevel="0" collapsed="false">
      <c r="A24" s="5" t="s">
        <v>414</v>
      </c>
      <c r="B24" s="5" t="s">
        <v>47</v>
      </c>
      <c r="C24" s="5" t="s">
        <v>1060</v>
      </c>
      <c r="D24" s="5" t="s">
        <v>1137</v>
      </c>
      <c r="E24" s="5" t="s">
        <v>415</v>
      </c>
      <c r="F24" s="5" t="s">
        <v>419</v>
      </c>
      <c r="G24" s="5" t="s">
        <v>1095</v>
      </c>
      <c r="H24" s="5" t="s">
        <v>1138</v>
      </c>
      <c r="I24" s="5" t="s">
        <v>1139</v>
      </c>
      <c r="J24" s="5" t="s">
        <v>1140</v>
      </c>
      <c r="K24" s="5" t="s">
        <v>425</v>
      </c>
      <c r="L24" s="5" t="s">
        <v>51</v>
      </c>
    </row>
    <row r="25" customFormat="false" ht="22.35" hidden="false" customHeight="false" outlineLevel="0" collapsed="false">
      <c r="A25" s="5" t="s">
        <v>428</v>
      </c>
      <c r="B25" s="5" t="s">
        <v>47</v>
      </c>
      <c r="C25" s="5" t="s">
        <v>1060</v>
      </c>
      <c r="D25" s="5" t="s">
        <v>1141</v>
      </c>
      <c r="E25" s="5" t="s">
        <v>429</v>
      </c>
      <c r="F25" s="5" t="s">
        <v>433</v>
      </c>
      <c r="G25" s="5" t="s">
        <v>99</v>
      </c>
      <c r="H25" s="5" t="s">
        <v>1142</v>
      </c>
      <c r="I25" s="5" t="s">
        <v>1143</v>
      </c>
      <c r="J25" s="5" t="s">
        <v>1144</v>
      </c>
      <c r="K25" s="5" t="s">
        <v>411</v>
      </c>
      <c r="L25" s="5" t="s">
        <v>51</v>
      </c>
    </row>
    <row r="26" customFormat="false" ht="32.8" hidden="false" customHeight="false" outlineLevel="0" collapsed="false">
      <c r="A26" s="5" t="s">
        <v>470</v>
      </c>
      <c r="B26" s="5" t="s">
        <v>47</v>
      </c>
      <c r="C26" s="5" t="s">
        <v>1055</v>
      </c>
      <c r="D26" s="5" t="s">
        <v>1145</v>
      </c>
      <c r="E26" s="5" t="s">
        <v>471</v>
      </c>
      <c r="F26" s="5" t="s">
        <v>475</v>
      </c>
      <c r="G26" s="5" t="s">
        <v>99</v>
      </c>
      <c r="H26" s="5" t="s">
        <v>1146</v>
      </c>
      <c r="I26" s="5" t="s">
        <v>1147</v>
      </c>
      <c r="J26" s="5" t="s">
        <v>1148</v>
      </c>
      <c r="K26" s="5" t="s">
        <v>365</v>
      </c>
      <c r="L26" s="5" t="s">
        <v>108</v>
      </c>
    </row>
    <row r="27" customFormat="false" ht="74.6" hidden="false" customHeight="false" outlineLevel="0" collapsed="false">
      <c r="A27" s="5" t="s">
        <v>478</v>
      </c>
      <c r="B27" s="5" t="s">
        <v>47</v>
      </c>
      <c r="C27" s="5" t="s">
        <v>1065</v>
      </c>
      <c r="D27" s="5" t="s">
        <v>1149</v>
      </c>
      <c r="E27" s="5" t="s">
        <v>479</v>
      </c>
      <c r="F27" s="5" t="s">
        <v>482</v>
      </c>
      <c r="G27" s="5" t="s">
        <v>99</v>
      </c>
      <c r="H27" s="5" t="s">
        <v>1150</v>
      </c>
      <c r="I27" s="5" t="s">
        <v>1151</v>
      </c>
      <c r="J27" s="5" t="s">
        <v>1152</v>
      </c>
      <c r="K27" s="5" t="s">
        <v>487</v>
      </c>
      <c r="L27" s="5" t="s">
        <v>108</v>
      </c>
    </row>
    <row r="28" customFormat="false" ht="64.15" hidden="false" customHeight="false" outlineLevel="0" collapsed="false">
      <c r="A28" s="5" t="s">
        <v>488</v>
      </c>
      <c r="B28" s="5" t="s">
        <v>47</v>
      </c>
      <c r="C28" s="5" t="s">
        <v>1060</v>
      </c>
      <c r="D28" s="5" t="s">
        <v>1153</v>
      </c>
      <c r="E28" s="5" t="s">
        <v>489</v>
      </c>
      <c r="F28" s="5" t="s">
        <v>493</v>
      </c>
      <c r="G28" s="5" t="s">
        <v>1095</v>
      </c>
      <c r="H28" s="5" t="s">
        <v>1154</v>
      </c>
      <c r="I28" s="5" t="s">
        <v>1155</v>
      </c>
      <c r="J28" s="5" t="s">
        <v>1156</v>
      </c>
      <c r="K28" s="5" t="s">
        <v>500</v>
      </c>
      <c r="L28" s="5" t="s">
        <v>108</v>
      </c>
    </row>
    <row r="29" customFormat="false" ht="32.8" hidden="false" customHeight="false" outlineLevel="0" collapsed="false">
      <c r="A29" s="5" t="s">
        <v>530</v>
      </c>
      <c r="B29" s="5" t="s">
        <v>47</v>
      </c>
      <c r="C29" s="5" t="s">
        <v>1055</v>
      </c>
      <c r="D29" s="5" t="s">
        <v>1157</v>
      </c>
      <c r="E29" s="5" t="s">
        <v>531</v>
      </c>
      <c r="F29" s="5" t="s">
        <v>534</v>
      </c>
      <c r="G29" s="5" t="s">
        <v>99</v>
      </c>
      <c r="H29" s="5" t="s">
        <v>1158</v>
      </c>
      <c r="I29" s="5" t="s">
        <v>1159</v>
      </c>
      <c r="J29" s="5" t="s">
        <v>1160</v>
      </c>
      <c r="K29" s="5" t="s">
        <v>538</v>
      </c>
      <c r="L29" s="5" t="s">
        <v>108</v>
      </c>
    </row>
    <row r="30" customFormat="false" ht="22.35" hidden="false" customHeight="false" outlineLevel="0" collapsed="false">
      <c r="A30" s="5" t="s">
        <v>604</v>
      </c>
      <c r="B30" s="5" t="s">
        <v>606</v>
      </c>
      <c r="C30" s="5" t="s">
        <v>1055</v>
      </c>
      <c r="D30" s="5" t="s">
        <v>1161</v>
      </c>
      <c r="E30" s="5" t="s">
        <v>605</v>
      </c>
      <c r="F30" s="5" t="s">
        <v>611</v>
      </c>
      <c r="G30" s="5" t="s">
        <v>99</v>
      </c>
      <c r="H30" s="5" t="s">
        <v>1116</v>
      </c>
      <c r="I30" s="5" t="s">
        <v>1116</v>
      </c>
      <c r="J30" s="5" t="s">
        <v>1116</v>
      </c>
      <c r="K30" s="5" t="s">
        <v>376</v>
      </c>
      <c r="L30" s="5" t="s">
        <v>319</v>
      </c>
    </row>
    <row r="31" customFormat="false" ht="53.7" hidden="false" customHeight="false" outlineLevel="0" collapsed="false">
      <c r="A31" s="5" t="s">
        <v>655</v>
      </c>
      <c r="B31" s="5" t="s">
        <v>47</v>
      </c>
      <c r="C31" s="5" t="s">
        <v>1162</v>
      </c>
      <c r="D31" s="5" t="s">
        <v>1163</v>
      </c>
      <c r="E31" s="5" t="s">
        <v>656</v>
      </c>
      <c r="F31" s="5" t="s">
        <v>661</v>
      </c>
      <c r="G31" s="5" t="s">
        <v>99</v>
      </c>
      <c r="H31" s="5" t="s">
        <v>1164</v>
      </c>
      <c r="I31" s="5" t="s">
        <v>1165</v>
      </c>
      <c r="J31" s="5" t="s">
        <v>1166</v>
      </c>
      <c r="K31" s="5" t="s">
        <v>666</v>
      </c>
      <c r="L31" s="5" t="s">
        <v>51</v>
      </c>
    </row>
    <row r="32" customFormat="false" ht="64.15" hidden="false" customHeight="false" outlineLevel="0" collapsed="false">
      <c r="A32" s="5" t="s">
        <v>667</v>
      </c>
      <c r="B32" s="5" t="s">
        <v>47</v>
      </c>
      <c r="C32" s="5" t="s">
        <v>1060</v>
      </c>
      <c r="D32" s="5" t="s">
        <v>1167</v>
      </c>
      <c r="E32" s="5" t="s">
        <v>668</v>
      </c>
      <c r="F32" s="5" t="s">
        <v>672</v>
      </c>
      <c r="G32" s="5" t="s">
        <v>1095</v>
      </c>
      <c r="H32" s="5" t="s">
        <v>1100</v>
      </c>
      <c r="I32" s="5" t="s">
        <v>1168</v>
      </c>
      <c r="J32" s="5" t="s">
        <v>1169</v>
      </c>
      <c r="K32" s="5" t="s">
        <v>678</v>
      </c>
      <c r="L32" s="5" t="s">
        <v>51</v>
      </c>
    </row>
  </sheetData>
  <autoFilter ref="A1:L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60"/>
    <col collapsed="false" customWidth="true" hidden="false" outlineLevel="0" max="6" min="5" style="0" width="9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" t="s">
        <v>1170</v>
      </c>
      <c r="B1" s="4" t="s">
        <v>1171</v>
      </c>
      <c r="C1" s="4" t="s">
        <v>1172</v>
      </c>
      <c r="D1" s="4" t="s">
        <v>1173</v>
      </c>
      <c r="E1" s="4" t="s">
        <v>1174</v>
      </c>
      <c r="F1" s="4" t="s">
        <v>1175</v>
      </c>
      <c r="G1" s="4" t="s">
        <v>1176</v>
      </c>
    </row>
    <row r="2" customFormat="false" ht="22.35" hidden="false" customHeight="false" outlineLevel="0" collapsed="false">
      <c r="A2" s="5" t="s">
        <v>142</v>
      </c>
      <c r="B2" s="5" t="s">
        <v>1177</v>
      </c>
      <c r="C2" s="5" t="s">
        <v>1178</v>
      </c>
      <c r="D2" s="5" t="s">
        <v>1179</v>
      </c>
      <c r="E2" s="5" t="n">
        <f aca="false">SUMPRODUCT(--ISNUMBER(SEARCH(", "&amp;A2&amp;",",", "&amp;Backlog!$N$2:$N$58&amp;",")))</f>
        <v>8</v>
      </c>
      <c r="F2" s="5" t="n">
        <f aca="false">SUMPRODUCT(--ISNUMBER(SEARCH(", "&amp;A2&amp;",",", "&amp;Backlog!$O$2:$O$58&amp;",")))</f>
        <v>5</v>
      </c>
      <c r="G2" s="5" t="str">
        <f aca="false">IF(E2+F2=0,"UNUSED",IF(E2=0,"READ-ONLY (seed / Admin-Config)","OK"))</f>
        <v>OK</v>
      </c>
    </row>
    <row r="3" customFormat="false" ht="15" hidden="false" customHeight="false" outlineLevel="0" collapsed="false">
      <c r="A3" s="5" t="s">
        <v>1180</v>
      </c>
      <c r="B3" s="5" t="s">
        <v>1181</v>
      </c>
      <c r="C3" s="5" t="s">
        <v>1182</v>
      </c>
      <c r="D3" s="5" t="s">
        <v>1183</v>
      </c>
      <c r="E3" s="5" t="n">
        <f aca="false">SUMPRODUCT(--ISNUMBER(SEARCH(", "&amp;A3&amp;",",", "&amp;Backlog!$N$2:$N$58&amp;",")))</f>
        <v>7</v>
      </c>
      <c r="F3" s="5" t="n">
        <f aca="false">SUMPRODUCT(--ISNUMBER(SEARCH(", "&amp;A3&amp;",",", "&amp;Backlog!$O$2:$O$58&amp;",")))</f>
        <v>4</v>
      </c>
      <c r="G3" s="5" t="str">
        <f aca="false">IF(E3+F3=0,"UNUSED",IF(E3=0,"READ-ONLY (seed / Admin-Config)","OK"))</f>
        <v>OK</v>
      </c>
    </row>
    <row r="4" customFormat="false" ht="22.35" hidden="false" customHeight="false" outlineLevel="0" collapsed="false">
      <c r="A4" s="5" t="s">
        <v>85</v>
      </c>
      <c r="B4" s="5" t="s">
        <v>1184</v>
      </c>
      <c r="C4" s="5" t="s">
        <v>1185</v>
      </c>
      <c r="D4" s="5" t="s">
        <v>1186</v>
      </c>
      <c r="E4" s="5" t="n">
        <f aca="false">SUMPRODUCT(--ISNUMBER(SEARCH(", "&amp;A4&amp;",",", "&amp;Backlog!$N$2:$N$58&amp;",")))</f>
        <v>7</v>
      </c>
      <c r="F4" s="5" t="n">
        <f aca="false">SUMPRODUCT(--ISNUMBER(SEARCH(", "&amp;A4&amp;",",", "&amp;Backlog!$O$2:$O$58&amp;",")))</f>
        <v>11</v>
      </c>
      <c r="G4" s="5" t="str">
        <f aca="false">IF(E4+F4=0,"UNUSED",IF(E4=0,"READ-ONLY (seed / Admin-Config)","OK"))</f>
        <v>OK</v>
      </c>
    </row>
    <row r="5" customFormat="false" ht="32.8" hidden="false" customHeight="false" outlineLevel="0" collapsed="false">
      <c r="A5" s="5" t="s">
        <v>1187</v>
      </c>
      <c r="B5" s="5" t="s">
        <v>1188</v>
      </c>
      <c r="C5" s="5" t="s">
        <v>1189</v>
      </c>
      <c r="D5" s="5" t="s">
        <v>1190</v>
      </c>
      <c r="E5" s="5" t="n">
        <f aca="false">SUMPRODUCT(--ISNUMBER(SEARCH(", "&amp;A5&amp;",",", "&amp;Backlog!$N$2:$N$58&amp;",")))</f>
        <v>17</v>
      </c>
      <c r="F5" s="5" t="n">
        <f aca="false">SUMPRODUCT(--ISNUMBER(SEARCH(", "&amp;A5&amp;",",", "&amp;Backlog!$O$2:$O$58&amp;",")))</f>
        <v>20</v>
      </c>
      <c r="G5" s="5" t="str">
        <f aca="false">IF(E5+F5=0,"UNUSED",IF(E5=0,"READ-ONLY (seed / Admin-Config)","OK"))</f>
        <v>OK</v>
      </c>
    </row>
    <row r="6" customFormat="false" ht="15" hidden="false" customHeight="false" outlineLevel="0" collapsed="false">
      <c r="A6" s="5" t="s">
        <v>1191</v>
      </c>
      <c r="B6" s="5" t="s">
        <v>1192</v>
      </c>
      <c r="C6" s="5" t="s">
        <v>197</v>
      </c>
      <c r="D6" s="5" t="s">
        <v>1193</v>
      </c>
      <c r="E6" s="5" t="n">
        <f aca="false">SUMPRODUCT(--ISNUMBER(SEARCH(", "&amp;A6&amp;",",", "&amp;Backlog!$N$2:$N$58&amp;",")))</f>
        <v>1</v>
      </c>
      <c r="F6" s="5" t="n">
        <f aca="false">SUMPRODUCT(--ISNUMBER(SEARCH(", "&amp;A6&amp;",",", "&amp;Backlog!$O$2:$O$58&amp;",")))</f>
        <v>4</v>
      </c>
      <c r="G6" s="5" t="str">
        <f aca="false">IF(E6+F6=0,"UNUSED",IF(E6=0,"READ-ONLY (seed / Admin-Config)","OK"))</f>
        <v>OK</v>
      </c>
    </row>
    <row r="7" customFormat="false" ht="32.8" hidden="false" customHeight="false" outlineLevel="0" collapsed="false">
      <c r="A7" s="5" t="s">
        <v>1194</v>
      </c>
      <c r="B7" s="5" t="s">
        <v>1195</v>
      </c>
      <c r="C7" s="5" t="s">
        <v>1196</v>
      </c>
      <c r="D7" s="5" t="s">
        <v>367</v>
      </c>
      <c r="E7" s="5" t="n">
        <f aca="false">SUMPRODUCT(--ISNUMBER(SEARCH(", "&amp;A7&amp;",",", "&amp;Backlog!$N$2:$N$58&amp;",")))</f>
        <v>18</v>
      </c>
      <c r="F7" s="5" t="n">
        <f aca="false">SUMPRODUCT(--ISNUMBER(SEARCH(", "&amp;A7&amp;",",", "&amp;Backlog!$O$2:$O$58&amp;",")))</f>
        <v>1</v>
      </c>
      <c r="G7" s="5" t="str">
        <f aca="false">IF(E7+F7=0,"UNUSED",IF(E7=0,"READ-ONLY (seed / Admin-Config)","OK"))</f>
        <v>OK</v>
      </c>
    </row>
    <row r="8" customFormat="false" ht="15" hidden="false" customHeight="false" outlineLevel="0" collapsed="false">
      <c r="A8" s="5" t="s">
        <v>1197</v>
      </c>
      <c r="B8" s="5" t="s">
        <v>1198</v>
      </c>
      <c r="C8" s="5" t="s">
        <v>1199</v>
      </c>
      <c r="D8" s="5" t="s">
        <v>1200</v>
      </c>
      <c r="E8" s="5" t="n">
        <f aca="false">SUMPRODUCT(--ISNUMBER(SEARCH(", "&amp;A8&amp;",",", "&amp;Backlog!$N$2:$N$58&amp;",")))</f>
        <v>8</v>
      </c>
      <c r="F8" s="5" t="n">
        <f aca="false">SUMPRODUCT(--ISNUMBER(SEARCH(", "&amp;A8&amp;",",", "&amp;Backlog!$O$2:$O$58&amp;",")))</f>
        <v>2</v>
      </c>
      <c r="G8" s="5" t="str">
        <f aca="false">IF(E8+F8=0,"UNUSED",IF(E8=0,"READ-ONLY (seed / Admin-Config)","OK"))</f>
        <v>OK</v>
      </c>
    </row>
    <row r="9" customFormat="false" ht="22.35" hidden="false" customHeight="false" outlineLevel="0" collapsed="false">
      <c r="A9" s="5" t="s">
        <v>509</v>
      </c>
      <c r="B9" s="5" t="s">
        <v>1201</v>
      </c>
      <c r="C9" s="5" t="s">
        <v>1202</v>
      </c>
      <c r="D9" s="5" t="s">
        <v>1203</v>
      </c>
      <c r="E9" s="5" t="n">
        <f aca="false">SUMPRODUCT(--ISNUMBER(SEARCH(", "&amp;A9&amp;",",", "&amp;Backlog!$N$2:$N$58&amp;",")))</f>
        <v>7</v>
      </c>
      <c r="F9" s="5" t="n">
        <f aca="false">SUMPRODUCT(--ISNUMBER(SEARCH(", "&amp;A9&amp;",",", "&amp;Backlog!$O$2:$O$58&amp;",")))</f>
        <v>3</v>
      </c>
      <c r="G9" s="5" t="str">
        <f aca="false">IF(E9+F9=0,"UNUSED",IF(E9=0,"READ-ONLY (seed / Admin-Config)","OK"))</f>
        <v>OK</v>
      </c>
    </row>
    <row r="10" customFormat="false" ht="15" hidden="false" customHeight="false" outlineLevel="0" collapsed="false">
      <c r="A10" s="5" t="s">
        <v>1204</v>
      </c>
      <c r="B10" s="5" t="s">
        <v>1205</v>
      </c>
      <c r="C10" s="5" t="s">
        <v>515</v>
      </c>
      <c r="D10" s="5" t="s">
        <v>1206</v>
      </c>
      <c r="E10" s="5" t="n">
        <f aca="false">SUMPRODUCT(--ISNUMBER(SEARCH(", "&amp;A10&amp;",",", "&amp;Backlog!$N$2:$N$58&amp;",")))</f>
        <v>1</v>
      </c>
      <c r="F10" s="5" t="n">
        <f aca="false">SUMPRODUCT(--ISNUMBER(SEARCH(", "&amp;A10&amp;",",", "&amp;Backlog!$O$2:$O$58&amp;",")))</f>
        <v>2</v>
      </c>
      <c r="G10" s="5" t="str">
        <f aca="false">IF(E10+F10=0,"UNUSED",IF(E10=0,"READ-ONLY (seed / Admin-Config)","OK"))</f>
        <v>OK</v>
      </c>
    </row>
    <row r="11" customFormat="false" ht="32.8" hidden="false" customHeight="false" outlineLevel="0" collapsed="false">
      <c r="A11" s="5" t="s">
        <v>662</v>
      </c>
      <c r="B11" s="5" t="s">
        <v>1207</v>
      </c>
      <c r="C11" s="5" t="s">
        <v>1208</v>
      </c>
      <c r="D11" s="5" t="s">
        <v>1209</v>
      </c>
      <c r="E11" s="5" t="n">
        <f aca="false">SUMPRODUCT(--ISNUMBER(SEARCH(", "&amp;A11&amp;",",", "&amp;Backlog!$N$2:$N$58&amp;",")))</f>
        <v>15</v>
      </c>
      <c r="F11" s="5" t="n">
        <f aca="false">SUMPRODUCT(--ISNUMBER(SEARCH(", "&amp;A11&amp;",",", "&amp;Backlog!$O$2:$O$58&amp;",")))</f>
        <v>21</v>
      </c>
      <c r="G11" s="5" t="str">
        <f aca="false">IF(E11+F11=0,"UNUSED",IF(E11=0,"READ-ONLY (seed / Admin-Config)","OK"))</f>
        <v>OK</v>
      </c>
    </row>
    <row r="12" customFormat="false" ht="22.35" hidden="false" customHeight="false" outlineLevel="0" collapsed="false">
      <c r="A12" s="5" t="s">
        <v>325</v>
      </c>
      <c r="B12" s="5" t="s">
        <v>1210</v>
      </c>
      <c r="C12" s="5" t="s">
        <v>1211</v>
      </c>
      <c r="D12" s="5" t="s">
        <v>1212</v>
      </c>
      <c r="E12" s="5" t="n">
        <f aca="false">SUMPRODUCT(--ISNUMBER(SEARCH(", "&amp;A12&amp;",",", "&amp;Backlog!$N$2:$N$58&amp;",")))</f>
        <v>13</v>
      </c>
      <c r="F12" s="5" t="n">
        <f aca="false">SUMPRODUCT(--ISNUMBER(SEARCH(", "&amp;A12&amp;",",", "&amp;Backlog!$O$2:$O$58&amp;",")))</f>
        <v>7</v>
      </c>
      <c r="G12" s="5" t="str">
        <f aca="false">IF(E12+F12=0,"UNUSED",IF(E12=0,"READ-ONLY (seed / Admin-Config)","OK"))</f>
        <v>OK</v>
      </c>
    </row>
    <row r="13" customFormat="false" ht="15" hidden="false" customHeight="false" outlineLevel="0" collapsed="false">
      <c r="A13" s="5" t="s">
        <v>1213</v>
      </c>
      <c r="B13" s="5" t="s">
        <v>985</v>
      </c>
      <c r="C13" s="5" t="s">
        <v>1214</v>
      </c>
      <c r="D13" s="5" t="s">
        <v>1215</v>
      </c>
      <c r="E13" s="5" t="n">
        <f aca="false">SUMPRODUCT(--ISNUMBER(SEARCH(", "&amp;A13&amp;",",", "&amp;Backlog!$N$2:$N$58&amp;",")))</f>
        <v>2</v>
      </c>
      <c r="F13" s="5" t="n">
        <f aca="false">SUMPRODUCT(--ISNUMBER(SEARCH(", "&amp;A13&amp;",",", "&amp;Backlog!$O$2:$O$58&amp;",")))</f>
        <v>4</v>
      </c>
      <c r="G13" s="5" t="str">
        <f aca="false">IF(E13+F13=0,"UNUSED",IF(E13=0,"READ-ONLY (seed / Admin-Config)","OK"))</f>
        <v>OK</v>
      </c>
    </row>
    <row r="14" customFormat="false" ht="22.35" hidden="false" customHeight="false" outlineLevel="0" collapsed="false">
      <c r="A14" s="5" t="s">
        <v>305</v>
      </c>
      <c r="B14" s="5" t="s">
        <v>1216</v>
      </c>
      <c r="C14" s="5" t="s">
        <v>1217</v>
      </c>
      <c r="D14" s="5" t="s">
        <v>1218</v>
      </c>
      <c r="E14" s="5" t="n">
        <f aca="false">SUMPRODUCT(--ISNUMBER(SEARCH(", "&amp;A14&amp;",",", "&amp;Backlog!$N$2:$N$58&amp;",")))</f>
        <v>10</v>
      </c>
      <c r="F14" s="5" t="n">
        <f aca="false">SUMPRODUCT(--ISNUMBER(SEARCH(", "&amp;A14&amp;",",", "&amp;Backlog!$O$2:$O$58&amp;",")))</f>
        <v>6</v>
      </c>
      <c r="G14" s="5" t="str">
        <f aca="false">IF(E14+F14=0,"UNUSED",IF(E14=0,"READ-ONLY (seed / Admin-Config)","OK"))</f>
        <v>OK</v>
      </c>
    </row>
    <row r="15" customFormat="false" ht="15" hidden="false" customHeight="false" outlineLevel="0" collapsed="false">
      <c r="A15" s="5" t="s">
        <v>564</v>
      </c>
      <c r="B15" s="5" t="s">
        <v>1219</v>
      </c>
      <c r="C15" s="5" t="s">
        <v>1220</v>
      </c>
      <c r="D15" s="5" t="s">
        <v>559</v>
      </c>
      <c r="E15" s="5" t="n">
        <f aca="false">SUMPRODUCT(--ISNUMBER(SEARCH(", "&amp;A15&amp;",",", "&amp;Backlog!$N$2:$N$58&amp;",")))</f>
        <v>7</v>
      </c>
      <c r="F15" s="5" t="n">
        <f aca="false">SUMPRODUCT(--ISNUMBER(SEARCH(", "&amp;A15&amp;",",", "&amp;Backlog!$O$2:$O$58&amp;",")))</f>
        <v>1</v>
      </c>
      <c r="G15" s="5" t="str">
        <f aca="false">IF(E15+F15=0,"UNUSED",IF(E15=0,"READ-ONLY (seed / Admin-Config)","OK"))</f>
        <v>OK</v>
      </c>
    </row>
    <row r="16" customFormat="false" ht="22.35" hidden="false" customHeight="false" outlineLevel="0" collapsed="false">
      <c r="A16" s="5" t="s">
        <v>1221</v>
      </c>
      <c r="B16" s="5" t="s">
        <v>1222</v>
      </c>
      <c r="C16" s="5" t="s">
        <v>1223</v>
      </c>
      <c r="D16" s="5" t="s">
        <v>579</v>
      </c>
      <c r="E16" s="5" t="n">
        <f aca="false">SUMPRODUCT(--ISNUMBER(SEARCH(", "&amp;A16&amp;",",", "&amp;Backlog!$N$2:$N$58&amp;",")))</f>
        <v>9</v>
      </c>
      <c r="F16" s="5" t="n">
        <f aca="false">SUMPRODUCT(--ISNUMBER(SEARCH(", "&amp;A16&amp;",",", "&amp;Backlog!$O$2:$O$58&amp;",")))</f>
        <v>1</v>
      </c>
      <c r="G16" s="5" t="str">
        <f aca="false">IF(E16+F16=0,"UNUSED",IF(E16=0,"READ-ONLY (seed / Admin-Config)","OK"))</f>
        <v>OK</v>
      </c>
    </row>
    <row r="17" customFormat="false" ht="43.25" hidden="false" customHeight="false" outlineLevel="0" collapsed="false">
      <c r="A17" s="5" t="s">
        <v>573</v>
      </c>
      <c r="B17" s="5" t="s">
        <v>1017</v>
      </c>
      <c r="C17" s="5" t="s">
        <v>1224</v>
      </c>
      <c r="D17" s="5" t="s">
        <v>558</v>
      </c>
      <c r="E17" s="5" t="n">
        <f aca="false">SUMPRODUCT(--ISNUMBER(SEARCH(", "&amp;A17&amp;",",", "&amp;Backlog!$N$2:$N$58&amp;",")))</f>
        <v>29</v>
      </c>
      <c r="F17" s="5" t="n">
        <f aca="false">SUMPRODUCT(--ISNUMBER(SEARCH(", "&amp;A17&amp;",",", "&amp;Backlog!$O$2:$O$58&amp;",")))</f>
        <v>1</v>
      </c>
      <c r="G17" s="5" t="str">
        <f aca="false">IF(E17+F17=0,"UNUSED",IF(E17=0,"READ-ONLY (seed / Admin-Config)","OK"))</f>
        <v>OK</v>
      </c>
    </row>
    <row r="18" customFormat="false" ht="15" hidden="false" customHeight="false" outlineLevel="0" collapsed="false">
      <c r="A18" s="5" t="s">
        <v>619</v>
      </c>
      <c r="B18" s="5" t="s">
        <v>1225</v>
      </c>
      <c r="C18" s="5" t="s">
        <v>1226</v>
      </c>
      <c r="D18" s="5" t="s">
        <v>181</v>
      </c>
      <c r="E18" s="5" t="n">
        <f aca="false">SUMPRODUCT(--ISNUMBER(SEARCH(", "&amp;A18&amp;",",", "&amp;Backlog!$N$2:$N$58&amp;",")))</f>
        <v>8</v>
      </c>
      <c r="F18" s="5" t="n">
        <f aca="false">SUMPRODUCT(--ISNUMBER(SEARCH(", "&amp;A18&amp;",",", "&amp;Backlog!$O$2:$O$58&amp;",")))</f>
        <v>1</v>
      </c>
      <c r="G18" s="5" t="str">
        <f aca="false">IF(E18+F18=0,"UNUSED",IF(E18=0,"READ-ONLY (seed / Admin-Config)","OK"))</f>
        <v>OK</v>
      </c>
    </row>
    <row r="19" customFormat="false" ht="15" hidden="false" customHeight="false" outlineLevel="0" collapsed="false">
      <c r="A19" s="5" t="s">
        <v>545</v>
      </c>
      <c r="B19" s="5" t="s">
        <v>1227</v>
      </c>
      <c r="C19" s="5" t="s">
        <v>1228</v>
      </c>
      <c r="D19" s="5"/>
      <c r="E19" s="5" t="n">
        <f aca="false">SUMPRODUCT(--ISNUMBER(SEARCH(", "&amp;A19&amp;",",", "&amp;Backlog!$N$2:$N$58&amp;",")))</f>
        <v>4</v>
      </c>
      <c r="F19" s="5" t="n">
        <f aca="false">SUMPRODUCT(--ISNUMBER(SEARCH(", "&amp;A19&amp;",",", "&amp;Backlog!$O$2:$O$58&amp;",")))</f>
        <v>0</v>
      </c>
      <c r="G19" s="5" t="str">
        <f aca="false">IF(E19+F19=0,"UNUSED",IF(E19=0,"READ-ONLY (seed / Admin-Config)","OK"))</f>
        <v>OK</v>
      </c>
    </row>
    <row r="20" customFormat="false" ht="22.35" hidden="false" customHeight="false" outlineLevel="0" collapsed="false">
      <c r="A20" s="5" t="s">
        <v>131</v>
      </c>
      <c r="B20" s="5" t="s">
        <v>1229</v>
      </c>
      <c r="C20" s="5"/>
      <c r="D20" s="5" t="s">
        <v>1230</v>
      </c>
      <c r="E20" s="5" t="n">
        <f aca="false">SUMPRODUCT(--ISNUMBER(SEARCH(", "&amp;A20&amp;",",", "&amp;Backlog!$N$2:$N$58&amp;",")))</f>
        <v>0</v>
      </c>
      <c r="F20" s="5" t="n">
        <f aca="false">SUMPRODUCT(--ISNUMBER(SEARCH(", "&amp;A20&amp;",",", "&amp;Backlog!$O$2:$O$58&amp;",")))</f>
        <v>9</v>
      </c>
      <c r="G20" s="5" t="str">
        <f aca="false">IF(E20+F20=0,"UNUSED",IF(E20=0,"READ-ONLY (seed / Admin-Config)","OK"))</f>
        <v>READ-ONLY (seed / Admin-Config)</v>
      </c>
    </row>
  </sheetData>
  <autoFilter ref="A1:G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5" min="4" style="0" width="24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31.5" hidden="false" customHeight="true" outlineLevel="0" collapsed="false">
      <c r="A1" s="4" t="s">
        <v>1231</v>
      </c>
      <c r="B1" s="4" t="s">
        <v>1232</v>
      </c>
      <c r="C1" s="4" t="s">
        <v>1233</v>
      </c>
      <c r="D1" s="4" t="s">
        <v>1234</v>
      </c>
      <c r="E1" s="4" t="s">
        <v>1235</v>
      </c>
      <c r="F1" s="4" t="s">
        <v>1236</v>
      </c>
      <c r="G1" s="4" t="s">
        <v>1237</v>
      </c>
    </row>
    <row r="2" customFormat="false" ht="15" hidden="false" customHeight="false" outlineLevel="0" collapsed="false">
      <c r="A2" s="5" t="s">
        <v>1238</v>
      </c>
      <c r="B2" s="5" t="s">
        <v>1239</v>
      </c>
      <c r="C2" s="5" t="s">
        <v>1240</v>
      </c>
      <c r="D2" s="5" t="s">
        <v>62</v>
      </c>
      <c r="E2" s="5"/>
      <c r="F2" s="5" t="s">
        <v>1241</v>
      </c>
      <c r="G2" s="5"/>
    </row>
    <row r="3" customFormat="false" ht="15" hidden="false" customHeight="false" outlineLevel="0" collapsed="false">
      <c r="A3" s="5" t="s">
        <v>166</v>
      </c>
      <c r="B3" s="5" t="s">
        <v>1239</v>
      </c>
      <c r="C3" s="5" t="s">
        <v>1240</v>
      </c>
      <c r="D3" s="5" t="s">
        <v>1242</v>
      </c>
      <c r="E3" s="5"/>
      <c r="F3" s="5" t="s">
        <v>1241</v>
      </c>
      <c r="G3" s="5"/>
    </row>
    <row r="4" customFormat="false" ht="15" hidden="false" customHeight="false" outlineLevel="0" collapsed="false">
      <c r="A4" s="5" t="s">
        <v>87</v>
      </c>
      <c r="B4" s="5" t="s">
        <v>1239</v>
      </c>
      <c r="C4" s="5" t="s">
        <v>1240</v>
      </c>
      <c r="D4" s="5" t="s">
        <v>78</v>
      </c>
      <c r="E4" s="5"/>
      <c r="F4" s="5" t="s">
        <v>1241</v>
      </c>
      <c r="G4" s="5"/>
    </row>
    <row r="5" customFormat="false" ht="15" hidden="false" customHeight="false" outlineLevel="0" collapsed="false">
      <c r="A5" s="5" t="s">
        <v>100</v>
      </c>
      <c r="B5" s="5" t="s">
        <v>1239</v>
      </c>
      <c r="C5" s="5" t="s">
        <v>1240</v>
      </c>
      <c r="D5" s="5" t="s">
        <v>727</v>
      </c>
      <c r="E5" s="5"/>
      <c r="F5" s="5" t="s">
        <v>1241</v>
      </c>
      <c r="G5" s="5"/>
    </row>
    <row r="6" customFormat="false" ht="15" hidden="false" customHeight="false" outlineLevel="0" collapsed="false">
      <c r="A6" s="5" t="s">
        <v>154</v>
      </c>
      <c r="B6" s="5" t="s">
        <v>1239</v>
      </c>
      <c r="C6" s="5" t="s">
        <v>1240</v>
      </c>
      <c r="D6" s="5" t="s">
        <v>145</v>
      </c>
      <c r="E6" s="5"/>
      <c r="F6" s="5" t="s">
        <v>1241</v>
      </c>
      <c r="G6" s="5"/>
    </row>
    <row r="7" customFormat="false" ht="15" hidden="false" customHeight="false" outlineLevel="0" collapsed="false">
      <c r="A7" s="5" t="s">
        <v>1243</v>
      </c>
      <c r="B7" s="5" t="s">
        <v>1239</v>
      </c>
      <c r="C7" s="5" t="s">
        <v>873</v>
      </c>
      <c r="D7" s="5" t="s">
        <v>197</v>
      </c>
      <c r="E7" s="5"/>
      <c r="F7" s="5" t="s">
        <v>1241</v>
      </c>
      <c r="G7" s="5"/>
    </row>
    <row r="8" customFormat="false" ht="15" hidden="false" customHeight="false" outlineLevel="0" collapsed="false">
      <c r="A8" s="5" t="s">
        <v>1244</v>
      </c>
      <c r="B8" s="5" t="s">
        <v>1239</v>
      </c>
      <c r="C8" s="5" t="s">
        <v>1245</v>
      </c>
      <c r="D8" s="5" t="s">
        <v>267</v>
      </c>
      <c r="E8" s="5"/>
      <c r="F8" s="5" t="s">
        <v>1246</v>
      </c>
      <c r="G8" s="5" t="s">
        <v>1247</v>
      </c>
    </row>
    <row r="9" customFormat="false" ht="15" hidden="false" customHeight="false" outlineLevel="0" collapsed="false">
      <c r="A9" s="5" t="s">
        <v>1248</v>
      </c>
      <c r="B9" s="5" t="s">
        <v>1239</v>
      </c>
      <c r="C9" s="5" t="s">
        <v>1249</v>
      </c>
      <c r="D9" s="5" t="s">
        <v>1250</v>
      </c>
      <c r="E9" s="5"/>
      <c r="F9" s="5" t="s">
        <v>1246</v>
      </c>
      <c r="G9" s="5" t="s">
        <v>1247</v>
      </c>
    </row>
    <row r="10" customFormat="false" ht="15" hidden="false" customHeight="false" outlineLevel="0" collapsed="false">
      <c r="A10" s="5" t="s">
        <v>1251</v>
      </c>
      <c r="B10" s="5" t="s">
        <v>1239</v>
      </c>
      <c r="C10" s="5" t="s">
        <v>1245</v>
      </c>
      <c r="D10" s="5" t="s">
        <v>242</v>
      </c>
      <c r="E10" s="5"/>
      <c r="F10" s="5" t="s">
        <v>1246</v>
      </c>
      <c r="G10" s="5" t="s">
        <v>1247</v>
      </c>
    </row>
    <row r="11" customFormat="false" ht="15" hidden="false" customHeight="false" outlineLevel="0" collapsed="false">
      <c r="A11" s="5" t="s">
        <v>1252</v>
      </c>
      <c r="B11" s="5" t="s">
        <v>1239</v>
      </c>
      <c r="C11" s="5" t="s">
        <v>1253</v>
      </c>
      <c r="D11" s="5" t="s">
        <v>1254</v>
      </c>
      <c r="E11" s="5"/>
      <c r="F11" s="5" t="s">
        <v>1255</v>
      </c>
      <c r="G11" s="5" t="s">
        <v>1256</v>
      </c>
    </row>
    <row r="12" customFormat="false" ht="15" hidden="false" customHeight="false" outlineLevel="0" collapsed="false">
      <c r="A12" s="5" t="s">
        <v>1257</v>
      </c>
      <c r="B12" s="5" t="s">
        <v>1239</v>
      </c>
      <c r="C12" s="5" t="s">
        <v>1258</v>
      </c>
      <c r="D12" s="5" t="s">
        <v>799</v>
      </c>
      <c r="E12" s="5"/>
      <c r="F12" s="5" t="s">
        <v>1259</v>
      </c>
      <c r="G12" s="5" t="s">
        <v>1260</v>
      </c>
    </row>
    <row r="13" customFormat="false" ht="15" hidden="false" customHeight="false" outlineLevel="0" collapsed="false">
      <c r="A13" s="5" t="s">
        <v>1261</v>
      </c>
      <c r="B13" s="5" t="s">
        <v>1239</v>
      </c>
      <c r="C13" s="5" t="s">
        <v>1262</v>
      </c>
      <c r="D13" s="5" t="s">
        <v>1263</v>
      </c>
      <c r="E13" s="5"/>
      <c r="F13" s="5" t="s">
        <v>1255</v>
      </c>
      <c r="G13" s="5" t="s">
        <v>1264</v>
      </c>
    </row>
    <row r="14" customFormat="false" ht="15" hidden="false" customHeight="false" outlineLevel="0" collapsed="false">
      <c r="A14" s="5" t="s">
        <v>1265</v>
      </c>
      <c r="B14" s="5" t="s">
        <v>1239</v>
      </c>
      <c r="C14" s="5" t="s">
        <v>1266</v>
      </c>
      <c r="D14" s="5" t="s">
        <v>267</v>
      </c>
      <c r="E14" s="5"/>
      <c r="F14" s="5" t="s">
        <v>1255</v>
      </c>
      <c r="G14" s="5" t="s">
        <v>1267</v>
      </c>
    </row>
    <row r="15" customFormat="false" ht="32.8" hidden="false" customHeight="false" outlineLevel="0" collapsed="false">
      <c r="A15" s="5" t="s">
        <v>1268</v>
      </c>
      <c r="B15" s="5" t="s">
        <v>1239</v>
      </c>
      <c r="C15" s="5" t="s">
        <v>1269</v>
      </c>
      <c r="D15" s="5" t="s">
        <v>1270</v>
      </c>
      <c r="E15" s="5"/>
      <c r="F15" s="5" t="s">
        <v>1255</v>
      </c>
      <c r="G15" s="5" t="s">
        <v>1271</v>
      </c>
    </row>
    <row r="16" customFormat="false" ht="22.35" hidden="false" customHeight="false" outlineLevel="0" collapsed="false">
      <c r="A16" s="5" t="s">
        <v>1272</v>
      </c>
      <c r="B16" s="5" t="s">
        <v>1239</v>
      </c>
      <c r="C16" s="5" t="s">
        <v>1273</v>
      </c>
      <c r="D16" s="5" t="s">
        <v>385</v>
      </c>
      <c r="E16" s="5"/>
      <c r="F16" s="5" t="s">
        <v>1274</v>
      </c>
      <c r="G16" s="5" t="s">
        <v>1275</v>
      </c>
    </row>
    <row r="17" customFormat="false" ht="15" hidden="false" customHeight="false" outlineLevel="0" collapsed="false">
      <c r="A17" s="5" t="s">
        <v>1276</v>
      </c>
      <c r="B17" s="5" t="s">
        <v>1239</v>
      </c>
      <c r="C17" s="5" t="s">
        <v>1245</v>
      </c>
      <c r="D17" s="5" t="s">
        <v>457</v>
      </c>
      <c r="E17" s="5"/>
      <c r="F17" s="5" t="s">
        <v>1246</v>
      </c>
      <c r="G17" s="5"/>
    </row>
    <row r="18" customFormat="false" ht="15" hidden="false" customHeight="false" outlineLevel="0" collapsed="false">
      <c r="A18" s="5" t="s">
        <v>1277</v>
      </c>
      <c r="B18" s="5" t="s">
        <v>1239</v>
      </c>
      <c r="C18" s="5" t="s">
        <v>1245</v>
      </c>
      <c r="D18" s="5" t="s">
        <v>1278</v>
      </c>
      <c r="E18" s="5"/>
      <c r="F18" s="5" t="s">
        <v>1246</v>
      </c>
      <c r="G18" s="5"/>
    </row>
    <row r="19" customFormat="false" ht="15" hidden="false" customHeight="false" outlineLevel="0" collapsed="false">
      <c r="A19" s="5" t="s">
        <v>434</v>
      </c>
      <c r="B19" s="5" t="s">
        <v>1239</v>
      </c>
      <c r="C19" s="5" t="s">
        <v>1279</v>
      </c>
      <c r="D19" s="5" t="s">
        <v>1280</v>
      </c>
      <c r="E19" s="5" t="s">
        <v>515</v>
      </c>
      <c r="F19" s="5" t="s">
        <v>1241</v>
      </c>
      <c r="G19" s="5" t="s">
        <v>1281</v>
      </c>
    </row>
    <row r="20" customFormat="false" ht="22.35" hidden="false" customHeight="false" outlineLevel="0" collapsed="false">
      <c r="A20" s="5" t="s">
        <v>497</v>
      </c>
      <c r="B20" s="5" t="s">
        <v>1239</v>
      </c>
      <c r="C20" s="5" t="s">
        <v>1282</v>
      </c>
      <c r="D20" s="5" t="s">
        <v>1283</v>
      </c>
      <c r="E20" s="5"/>
      <c r="F20" s="5" t="s">
        <v>1241</v>
      </c>
      <c r="G20" s="5"/>
    </row>
    <row r="21" customFormat="false" ht="15" hidden="false" customHeight="false" outlineLevel="0" collapsed="false">
      <c r="A21" s="5" t="s">
        <v>511</v>
      </c>
      <c r="B21" s="5" t="s">
        <v>1239</v>
      </c>
      <c r="C21" s="5" t="s">
        <v>1245</v>
      </c>
      <c r="D21" s="5" t="s">
        <v>503</v>
      </c>
      <c r="E21" s="5"/>
      <c r="F21" s="5" t="s">
        <v>1241</v>
      </c>
      <c r="G21" s="5"/>
    </row>
    <row r="22" customFormat="false" ht="15" hidden="false" customHeight="false" outlineLevel="0" collapsed="false">
      <c r="A22" s="5" t="s">
        <v>1284</v>
      </c>
      <c r="B22" s="5" t="s">
        <v>1239</v>
      </c>
      <c r="C22" s="5" t="s">
        <v>1245</v>
      </c>
      <c r="D22" s="5" t="s">
        <v>515</v>
      </c>
      <c r="E22" s="5"/>
      <c r="F22" s="5" t="s">
        <v>1246</v>
      </c>
      <c r="G22" s="5" t="s">
        <v>1285</v>
      </c>
    </row>
    <row r="23" customFormat="false" ht="22.35" hidden="false" customHeight="false" outlineLevel="0" collapsed="false">
      <c r="A23" s="5" t="s">
        <v>650</v>
      </c>
      <c r="B23" s="5" t="s">
        <v>1286</v>
      </c>
      <c r="C23" s="5" t="s">
        <v>1287</v>
      </c>
      <c r="D23" s="5"/>
      <c r="E23" s="5" t="s">
        <v>640</v>
      </c>
      <c r="F23" s="5" t="s">
        <v>1255</v>
      </c>
      <c r="G23" s="5" t="s">
        <v>1288</v>
      </c>
    </row>
    <row r="24" customFormat="false" ht="15" hidden="false" customHeight="false" outlineLevel="0" collapsed="false">
      <c r="A24" s="5" t="s">
        <v>1289</v>
      </c>
      <c r="B24" s="5" t="s">
        <v>1286</v>
      </c>
      <c r="C24" s="5" t="s">
        <v>1290</v>
      </c>
      <c r="D24" s="5"/>
      <c r="E24" s="5"/>
      <c r="F24" s="5" t="s">
        <v>1255</v>
      </c>
      <c r="G24" s="5" t="s">
        <v>1291</v>
      </c>
    </row>
    <row r="25" customFormat="false" ht="15" hidden="false" customHeight="false" outlineLevel="0" collapsed="false">
      <c r="A25" s="5" t="s">
        <v>697</v>
      </c>
      <c r="B25" s="5" t="s">
        <v>1286</v>
      </c>
      <c r="C25" s="5" t="s">
        <v>1292</v>
      </c>
      <c r="D25" s="5"/>
      <c r="E25" s="5" t="s">
        <v>692</v>
      </c>
      <c r="F25" s="5" t="s">
        <v>1255</v>
      </c>
      <c r="G25" s="5" t="s">
        <v>1293</v>
      </c>
    </row>
    <row r="26" customFormat="false" ht="22.35" hidden="false" customHeight="false" outlineLevel="0" collapsed="false">
      <c r="A26" s="5" t="s">
        <v>1294</v>
      </c>
      <c r="B26" s="5" t="s">
        <v>1286</v>
      </c>
      <c r="C26" s="5" t="s">
        <v>1295</v>
      </c>
      <c r="D26" s="5"/>
      <c r="E26" s="5"/>
      <c r="F26" s="5" t="s">
        <v>1296</v>
      </c>
      <c r="G26" s="5" t="s">
        <v>1297</v>
      </c>
    </row>
    <row r="27" customFormat="false" ht="22.35" hidden="false" customHeight="false" outlineLevel="0" collapsed="false">
      <c r="A27" s="5" t="s">
        <v>1298</v>
      </c>
      <c r="B27" s="5" t="s">
        <v>1299</v>
      </c>
      <c r="C27" s="5" t="s">
        <v>1300</v>
      </c>
      <c r="D27" s="5" t="s">
        <v>267</v>
      </c>
      <c r="E27" s="5" t="s">
        <v>267</v>
      </c>
      <c r="F27" s="5" t="s">
        <v>1301</v>
      </c>
      <c r="G27" s="5" t="s">
        <v>1302</v>
      </c>
    </row>
    <row r="28" customFormat="false" ht="15" hidden="false" customHeight="false" outlineLevel="0" collapsed="false">
      <c r="A28" s="5" t="s">
        <v>1303</v>
      </c>
      <c r="B28" s="5" t="s">
        <v>797</v>
      </c>
      <c r="C28" s="5" t="s">
        <v>1300</v>
      </c>
      <c r="D28" s="5"/>
      <c r="E28" s="5" t="s">
        <v>267</v>
      </c>
      <c r="F28" s="5" t="s">
        <v>1259</v>
      </c>
      <c r="G28" s="5"/>
    </row>
    <row r="29" customFormat="false" ht="15" hidden="false" customHeight="false" outlineLevel="0" collapsed="false">
      <c r="A29" s="5" t="s">
        <v>1304</v>
      </c>
      <c r="B29" s="5" t="s">
        <v>797</v>
      </c>
      <c r="C29" s="5" t="s">
        <v>1300</v>
      </c>
      <c r="D29" s="5"/>
      <c r="E29" s="5" t="s">
        <v>267</v>
      </c>
      <c r="F29" s="5" t="s">
        <v>1259</v>
      </c>
      <c r="G29" s="5"/>
    </row>
    <row r="30" customFormat="false" ht="22.35" hidden="false" customHeight="false" outlineLevel="0" collapsed="false">
      <c r="A30" s="5" t="s">
        <v>1305</v>
      </c>
      <c r="B30" s="5" t="s">
        <v>1299</v>
      </c>
      <c r="C30" s="5" t="s">
        <v>1306</v>
      </c>
      <c r="D30" s="5" t="s">
        <v>503</v>
      </c>
      <c r="E30" s="5" t="s">
        <v>503</v>
      </c>
      <c r="F30" s="5" t="s">
        <v>1301</v>
      </c>
      <c r="G30" s="5" t="s">
        <v>1307</v>
      </c>
    </row>
    <row r="31" customFormat="false" ht="15" hidden="false" customHeight="false" outlineLevel="0" collapsed="false">
      <c r="A31" s="5" t="s">
        <v>1308</v>
      </c>
      <c r="B31" s="5" t="s">
        <v>797</v>
      </c>
      <c r="C31" s="5" t="s">
        <v>1306</v>
      </c>
      <c r="D31" s="5"/>
      <c r="E31" s="5" t="s">
        <v>503</v>
      </c>
      <c r="F31" s="5" t="s">
        <v>1259</v>
      </c>
      <c r="G31" s="5"/>
    </row>
    <row r="32" customFormat="false" ht="22.35" hidden="false" customHeight="false" outlineLevel="0" collapsed="false">
      <c r="A32" s="5" t="s">
        <v>1309</v>
      </c>
      <c r="B32" s="5" t="s">
        <v>1310</v>
      </c>
      <c r="C32" s="5" t="s">
        <v>1311</v>
      </c>
      <c r="D32" s="5"/>
      <c r="E32" s="5" t="s">
        <v>457</v>
      </c>
      <c r="F32" s="5" t="s">
        <v>1312</v>
      </c>
      <c r="G32" s="5" t="s">
        <v>1313</v>
      </c>
    </row>
    <row r="33" customFormat="false" ht="15" hidden="false" customHeight="false" outlineLevel="0" collapsed="false">
      <c r="A33" s="5" t="s">
        <v>1314</v>
      </c>
      <c r="B33" s="5" t="s">
        <v>1310</v>
      </c>
      <c r="C33" s="5" t="s">
        <v>1311</v>
      </c>
      <c r="D33" s="5"/>
      <c r="E33" s="5" t="s">
        <v>457</v>
      </c>
      <c r="F33" s="5" t="s">
        <v>1315</v>
      </c>
      <c r="G33" s="5"/>
    </row>
    <row r="34" customFormat="false" ht="15" hidden="false" customHeight="false" outlineLevel="0" collapsed="false">
      <c r="A34" s="5" t="s">
        <v>1316</v>
      </c>
      <c r="B34" s="5" t="s">
        <v>1310</v>
      </c>
      <c r="C34" s="5" t="s">
        <v>1311</v>
      </c>
      <c r="D34" s="5"/>
      <c r="E34" s="5" t="s">
        <v>457</v>
      </c>
      <c r="F34" s="5" t="s">
        <v>1315</v>
      </c>
      <c r="G34" s="5" t="s">
        <v>1317</v>
      </c>
    </row>
    <row r="35" customFormat="false" ht="15" hidden="false" customHeight="false" outlineLevel="0" collapsed="false">
      <c r="A35" s="5" t="s">
        <v>1318</v>
      </c>
      <c r="B35" s="5" t="s">
        <v>1310</v>
      </c>
      <c r="C35" s="5" t="s">
        <v>1319</v>
      </c>
      <c r="D35" s="5"/>
      <c r="E35" s="5" t="s">
        <v>197</v>
      </c>
      <c r="F35" s="5" t="s">
        <v>1315</v>
      </c>
      <c r="G35" s="5" t="s">
        <v>1320</v>
      </c>
    </row>
    <row r="36" customFormat="false" ht="15" hidden="false" customHeight="false" outlineLevel="0" collapsed="false">
      <c r="A36" s="5" t="s">
        <v>1321</v>
      </c>
      <c r="B36" s="5" t="s">
        <v>1310</v>
      </c>
      <c r="C36" s="5" t="s">
        <v>1319</v>
      </c>
      <c r="D36" s="5"/>
      <c r="E36" s="5"/>
      <c r="F36" s="5" t="s">
        <v>1322</v>
      </c>
      <c r="G36" s="5" t="s">
        <v>1323</v>
      </c>
    </row>
    <row r="37" customFormat="false" ht="15" hidden="false" customHeight="false" outlineLevel="0" collapsed="false">
      <c r="A37" s="5" t="s">
        <v>1324</v>
      </c>
      <c r="B37" s="5" t="s">
        <v>1310</v>
      </c>
      <c r="C37" s="5" t="s">
        <v>1325</v>
      </c>
      <c r="D37" s="5"/>
      <c r="E37" s="5" t="s">
        <v>591</v>
      </c>
      <c r="F37" s="5" t="s">
        <v>1315</v>
      </c>
      <c r="G37" s="5"/>
    </row>
    <row r="38" customFormat="false" ht="15" hidden="false" customHeight="false" outlineLevel="0" collapsed="false">
      <c r="A38" s="5" t="s">
        <v>1326</v>
      </c>
      <c r="B38" s="5" t="s">
        <v>1310</v>
      </c>
      <c r="C38" s="5" t="s">
        <v>1325</v>
      </c>
      <c r="D38" s="5"/>
      <c r="E38" s="5" t="s">
        <v>591</v>
      </c>
      <c r="F38" s="5" t="s">
        <v>1315</v>
      </c>
      <c r="G38" s="5" t="s">
        <v>1327</v>
      </c>
    </row>
    <row r="39" customFormat="false" ht="15" hidden="false" customHeight="false" outlineLevel="0" collapsed="false">
      <c r="A39" s="5" t="s">
        <v>1328</v>
      </c>
      <c r="B39" s="5" t="s">
        <v>980</v>
      </c>
      <c r="C39" s="5" t="s">
        <v>1329</v>
      </c>
      <c r="D39" s="5"/>
      <c r="E39" s="5" t="s">
        <v>170</v>
      </c>
      <c r="F39" s="5" t="s">
        <v>1315</v>
      </c>
      <c r="G39" s="5"/>
    </row>
    <row r="40" customFormat="false" ht="15" hidden="false" customHeight="false" outlineLevel="0" collapsed="false">
      <c r="A40" s="5" t="s">
        <v>1330</v>
      </c>
      <c r="B40" s="5" t="s">
        <v>1331</v>
      </c>
      <c r="C40" s="5" t="s">
        <v>1329</v>
      </c>
      <c r="D40" s="5"/>
      <c r="E40" s="5" t="s">
        <v>170</v>
      </c>
      <c r="F40" s="5" t="s">
        <v>1332</v>
      </c>
      <c r="G40" s="5"/>
    </row>
    <row r="41" customFormat="false" ht="15" hidden="false" customHeight="false" outlineLevel="0" collapsed="false">
      <c r="A41" s="5" t="s">
        <v>636</v>
      </c>
      <c r="B41" s="5" t="s">
        <v>1333</v>
      </c>
      <c r="C41" s="5" t="s">
        <v>1334</v>
      </c>
      <c r="D41" s="5"/>
      <c r="E41" s="5" t="s">
        <v>60</v>
      </c>
      <c r="F41" s="5" t="s">
        <v>1335</v>
      </c>
      <c r="G41" s="5"/>
    </row>
  </sheetData>
  <autoFilter ref="A1:G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31.5" hidden="false" customHeight="true" outlineLevel="0" collapsed="false">
      <c r="A1" s="4" t="s">
        <v>1336</v>
      </c>
      <c r="B1" s="4" t="s">
        <v>1337</v>
      </c>
      <c r="C1" s="4" t="s">
        <v>1338</v>
      </c>
      <c r="D1" s="4" t="s">
        <v>1236</v>
      </c>
    </row>
    <row r="2" customFormat="false" ht="22.35" hidden="false" customHeight="false" outlineLevel="0" collapsed="false">
      <c r="A2" s="5" t="s">
        <v>980</v>
      </c>
      <c r="B2" s="5" t="s">
        <v>1339</v>
      </c>
      <c r="C2" s="5" t="s">
        <v>1340</v>
      </c>
      <c r="D2" s="5" t="s">
        <v>1341</v>
      </c>
    </row>
    <row r="3" customFormat="false" ht="15" hidden="false" customHeight="false" outlineLevel="0" collapsed="false">
      <c r="A3" s="5" t="s">
        <v>980</v>
      </c>
      <c r="B3" s="5" t="s">
        <v>170</v>
      </c>
      <c r="C3" s="5" t="s">
        <v>1342</v>
      </c>
      <c r="D3" s="5" t="s">
        <v>1343</v>
      </c>
    </row>
    <row r="4" customFormat="false" ht="15" hidden="false" customHeight="false" outlineLevel="0" collapsed="false">
      <c r="A4" s="5" t="s">
        <v>980</v>
      </c>
      <c r="B4" s="5" t="s">
        <v>604</v>
      </c>
      <c r="C4" s="5" t="s">
        <v>1344</v>
      </c>
      <c r="D4" s="5" t="s">
        <v>1345</v>
      </c>
    </row>
    <row r="5" customFormat="false" ht="15" hidden="false" customHeight="false" outlineLevel="0" collapsed="false">
      <c r="A5" s="5" t="s">
        <v>1346</v>
      </c>
      <c r="B5" s="5" t="s">
        <v>1347</v>
      </c>
      <c r="C5" s="5" t="s">
        <v>1348</v>
      </c>
      <c r="D5" s="5" t="s">
        <v>1343</v>
      </c>
    </row>
    <row r="6" customFormat="false" ht="15" hidden="false" customHeight="false" outlineLevel="0" collapsed="false">
      <c r="A6" s="5" t="s">
        <v>1346</v>
      </c>
      <c r="B6" s="5" t="s">
        <v>197</v>
      </c>
      <c r="C6" s="5" t="s">
        <v>1349</v>
      </c>
      <c r="D6" s="5" t="s">
        <v>1350</v>
      </c>
    </row>
    <row r="7" customFormat="false" ht="15" hidden="false" customHeight="false" outlineLevel="0" collapsed="false">
      <c r="A7" s="5" t="s">
        <v>1346</v>
      </c>
      <c r="B7" s="5" t="s">
        <v>1351</v>
      </c>
      <c r="C7" s="5" t="s">
        <v>1352</v>
      </c>
      <c r="D7" s="5" t="s">
        <v>1343</v>
      </c>
    </row>
    <row r="8" customFormat="false" ht="15" hidden="false" customHeight="false" outlineLevel="0" collapsed="false">
      <c r="A8" s="5" t="s">
        <v>1346</v>
      </c>
      <c r="B8" s="5" t="s">
        <v>591</v>
      </c>
      <c r="C8" s="5" t="s">
        <v>1353</v>
      </c>
      <c r="D8" s="5" t="s">
        <v>1343</v>
      </c>
    </row>
    <row r="9" customFormat="false" ht="15" hidden="false" customHeight="false" outlineLevel="0" collapsed="false">
      <c r="A9" s="5" t="s">
        <v>1354</v>
      </c>
      <c r="B9" s="5" t="s">
        <v>1355</v>
      </c>
      <c r="C9" s="5" t="s">
        <v>1356</v>
      </c>
      <c r="D9" s="5" t="s">
        <v>1343</v>
      </c>
    </row>
    <row r="10" customFormat="false" ht="15" hidden="false" customHeight="false" outlineLevel="0" collapsed="false">
      <c r="A10" s="5" t="s">
        <v>1354</v>
      </c>
      <c r="B10" s="5" t="s">
        <v>1357</v>
      </c>
      <c r="C10" s="5" t="s">
        <v>1358</v>
      </c>
      <c r="D10" s="5" t="s">
        <v>1343</v>
      </c>
    </row>
    <row r="11" customFormat="false" ht="15" hidden="false" customHeight="false" outlineLevel="0" collapsed="false">
      <c r="A11" s="5" t="s">
        <v>1354</v>
      </c>
      <c r="B11" s="5" t="s">
        <v>367</v>
      </c>
      <c r="C11" s="5" t="s">
        <v>1359</v>
      </c>
      <c r="D11" s="5" t="s">
        <v>1343</v>
      </c>
    </row>
    <row r="12" customFormat="false" ht="15" hidden="false" customHeight="false" outlineLevel="0" collapsed="false">
      <c r="A12" s="5" t="s">
        <v>1354</v>
      </c>
      <c r="B12" s="5" t="s">
        <v>457</v>
      </c>
      <c r="C12" s="5" t="s">
        <v>1360</v>
      </c>
      <c r="D12" s="5" t="s">
        <v>1361</v>
      </c>
    </row>
    <row r="13" customFormat="false" ht="15" hidden="false" customHeight="false" outlineLevel="0" collapsed="false">
      <c r="A13" s="5" t="s">
        <v>1362</v>
      </c>
      <c r="B13" s="5" t="s">
        <v>182</v>
      </c>
      <c r="C13" s="5" t="s">
        <v>1363</v>
      </c>
      <c r="D13" s="5" t="s">
        <v>1343</v>
      </c>
    </row>
    <row r="14" customFormat="false" ht="15" hidden="false" customHeight="false" outlineLevel="0" collapsed="false">
      <c r="A14" s="5" t="s">
        <v>1362</v>
      </c>
      <c r="B14" s="5" t="s">
        <v>1364</v>
      </c>
      <c r="C14" s="5" t="s">
        <v>1365</v>
      </c>
      <c r="D14" s="5" t="s">
        <v>1366</v>
      </c>
    </row>
    <row r="15" customFormat="false" ht="15" hidden="false" customHeight="false" outlineLevel="0" collapsed="false">
      <c r="A15" s="5" t="s">
        <v>1362</v>
      </c>
      <c r="B15" s="5" t="s">
        <v>267</v>
      </c>
      <c r="C15" s="5" t="s">
        <v>1367</v>
      </c>
      <c r="D15" s="5" t="s">
        <v>1366</v>
      </c>
    </row>
    <row r="16" customFormat="false" ht="15" hidden="false" customHeight="false" outlineLevel="0" collapsed="false">
      <c r="A16" s="5" t="s">
        <v>1362</v>
      </c>
      <c r="B16" s="5" t="s">
        <v>1368</v>
      </c>
      <c r="C16" s="5" t="s">
        <v>1369</v>
      </c>
      <c r="D16" s="5" t="s">
        <v>1370</v>
      </c>
    </row>
    <row r="17" customFormat="false" ht="15" hidden="false" customHeight="false" outlineLevel="0" collapsed="false">
      <c r="A17" s="5" t="s">
        <v>1362</v>
      </c>
      <c r="B17" s="5" t="s">
        <v>1371</v>
      </c>
      <c r="C17" s="5" t="s">
        <v>1372</v>
      </c>
      <c r="D17" s="5" t="s">
        <v>1343</v>
      </c>
    </row>
    <row r="18" customFormat="false" ht="15" hidden="false" customHeight="false" outlineLevel="0" collapsed="false">
      <c r="A18" s="5" t="s">
        <v>1362</v>
      </c>
      <c r="B18" s="5" t="s">
        <v>503</v>
      </c>
      <c r="C18" s="5" t="s">
        <v>1373</v>
      </c>
      <c r="D18" s="5" t="s">
        <v>1374</v>
      </c>
    </row>
    <row r="19" customFormat="false" ht="15" hidden="false" customHeight="false" outlineLevel="0" collapsed="false">
      <c r="A19" s="5" t="s">
        <v>1331</v>
      </c>
      <c r="B19" s="5" t="s">
        <v>197</v>
      </c>
      <c r="C19" s="5" t="s">
        <v>1375</v>
      </c>
      <c r="D19" s="5" t="s">
        <v>1376</v>
      </c>
    </row>
    <row r="20" customFormat="false" ht="15" hidden="false" customHeight="false" outlineLevel="0" collapsed="false">
      <c r="A20" s="5" t="s">
        <v>1331</v>
      </c>
      <c r="B20" s="5" t="s">
        <v>1377</v>
      </c>
      <c r="C20" s="5" t="s">
        <v>1378</v>
      </c>
      <c r="D20" s="5" t="s">
        <v>1376</v>
      </c>
    </row>
    <row r="21" customFormat="false" ht="15" hidden="false" customHeight="false" outlineLevel="0" collapsed="false">
      <c r="A21" s="5" t="s">
        <v>1331</v>
      </c>
      <c r="B21" s="5" t="s">
        <v>1379</v>
      </c>
      <c r="C21" s="5" t="s">
        <v>1380</v>
      </c>
      <c r="D21" s="5" t="s">
        <v>1381</v>
      </c>
    </row>
    <row r="22" customFormat="false" ht="15" hidden="false" customHeight="false" outlineLevel="0" collapsed="false">
      <c r="A22" s="5" t="s">
        <v>1331</v>
      </c>
      <c r="B22" s="5" t="s">
        <v>604</v>
      </c>
      <c r="C22" s="5" t="s">
        <v>1382</v>
      </c>
      <c r="D22" s="5" t="s">
        <v>319</v>
      </c>
    </row>
    <row r="23" customFormat="false" ht="15" hidden="false" customHeight="false" outlineLevel="0" collapsed="false">
      <c r="A23" s="5" t="s">
        <v>1245</v>
      </c>
      <c r="B23" s="5" t="s">
        <v>1383</v>
      </c>
      <c r="C23" s="5" t="s">
        <v>1384</v>
      </c>
      <c r="D23" s="5" t="s">
        <v>1385</v>
      </c>
    </row>
    <row r="24" customFormat="false" ht="15" hidden="false" customHeight="false" outlineLevel="0" collapsed="false">
      <c r="A24" s="5" t="s">
        <v>1006</v>
      </c>
      <c r="B24" s="5" t="s">
        <v>1386</v>
      </c>
      <c r="C24" s="5" t="s">
        <v>1387</v>
      </c>
      <c r="D24" s="5" t="s">
        <v>1388</v>
      </c>
    </row>
    <row r="25" customFormat="false" ht="15" hidden="false" customHeight="false" outlineLevel="0" collapsed="false">
      <c r="A25" s="5" t="s">
        <v>574</v>
      </c>
      <c r="B25" s="5" t="s">
        <v>558</v>
      </c>
      <c r="C25" s="5" t="s">
        <v>1389</v>
      </c>
      <c r="D25" s="5" t="s">
        <v>1390</v>
      </c>
    </row>
    <row r="26" customFormat="false" ht="15" hidden="false" customHeight="false" outlineLevel="0" collapsed="false">
      <c r="A26" s="5" t="s">
        <v>1286</v>
      </c>
      <c r="B26" s="5" t="s">
        <v>640</v>
      </c>
      <c r="C26" s="5" t="s">
        <v>1391</v>
      </c>
      <c r="D26" s="5" t="s">
        <v>1392</v>
      </c>
    </row>
    <row r="27" customFormat="false" ht="15" hidden="false" customHeight="false" outlineLevel="0" collapsed="false">
      <c r="A27" s="5" t="s">
        <v>1286</v>
      </c>
      <c r="B27" s="5" t="s">
        <v>640</v>
      </c>
      <c r="C27" s="5" t="s">
        <v>1393</v>
      </c>
      <c r="D27" s="5" t="s">
        <v>1343</v>
      </c>
    </row>
    <row r="28" customFormat="false" ht="22.35" hidden="false" customHeight="false" outlineLevel="0" collapsed="false">
      <c r="A28" s="5" t="s">
        <v>1286</v>
      </c>
      <c r="B28" s="5" t="s">
        <v>1394</v>
      </c>
      <c r="C28" s="5" t="s">
        <v>1395</v>
      </c>
      <c r="D28" s="5" t="s">
        <v>1343</v>
      </c>
    </row>
    <row r="29" customFormat="false" ht="22.35" hidden="false" customHeight="false" outlineLevel="0" collapsed="false">
      <c r="A29" s="5" t="s">
        <v>1286</v>
      </c>
      <c r="B29" s="5" t="s">
        <v>681</v>
      </c>
      <c r="C29" s="5" t="s">
        <v>1396</v>
      </c>
      <c r="D29" s="5" t="s">
        <v>1343</v>
      </c>
    </row>
    <row r="30" customFormat="false" ht="15" hidden="false" customHeight="false" outlineLevel="0" collapsed="false">
      <c r="A30" s="5" t="s">
        <v>1286</v>
      </c>
      <c r="B30" s="5" t="s">
        <v>692</v>
      </c>
      <c r="C30" s="5" t="s">
        <v>1397</v>
      </c>
      <c r="D30" s="5" t="s">
        <v>1343</v>
      </c>
    </row>
    <row r="31" customFormat="false" ht="15" hidden="false" customHeight="false" outlineLevel="0" collapsed="false">
      <c r="A31" s="5" t="s">
        <v>1331</v>
      </c>
      <c r="B31" s="5" t="s">
        <v>1398</v>
      </c>
      <c r="C31" s="5" t="s">
        <v>1399</v>
      </c>
      <c r="D31" s="5" t="s">
        <v>1400</v>
      </c>
    </row>
  </sheetData>
  <autoFilter ref="A1:D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48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1" min="11" style="0" width="52"/>
    <col collapsed="false" customWidth="true" hidden="false" outlineLevel="0" max="12" min="12" style="0" width="10"/>
  </cols>
  <sheetData>
    <row r="1" customFormat="false" ht="31.5" hidden="false" customHeight="true" outlineLevel="0" collapsed="false">
      <c r="A1" s="4" t="s">
        <v>1401</v>
      </c>
      <c r="B1" s="4" t="s">
        <v>1402</v>
      </c>
      <c r="C1" s="4" t="s">
        <v>20</v>
      </c>
      <c r="D1" s="4" t="s">
        <v>30</v>
      </c>
      <c r="E1" s="4" t="s">
        <v>1403</v>
      </c>
      <c r="F1" s="4" t="s">
        <v>24</v>
      </c>
      <c r="G1" s="4" t="s">
        <v>1404</v>
      </c>
      <c r="H1" s="4" t="s">
        <v>1405</v>
      </c>
      <c r="I1" s="4" t="s">
        <v>1406</v>
      </c>
      <c r="J1" s="4" t="s">
        <v>1407</v>
      </c>
      <c r="K1" s="4" t="s">
        <v>1408</v>
      </c>
      <c r="L1" s="4" t="s">
        <v>1236</v>
      </c>
    </row>
    <row r="2" customFormat="false" ht="22.35" hidden="false" customHeight="false" outlineLevel="0" collapsed="false">
      <c r="A2" s="5" t="s">
        <v>1409</v>
      </c>
      <c r="B2" s="5" t="s">
        <v>44</v>
      </c>
      <c r="C2" s="5" t="s">
        <v>45</v>
      </c>
      <c r="D2" s="5" t="s">
        <v>54</v>
      </c>
      <c r="E2" s="5" t="s">
        <v>1410</v>
      </c>
      <c r="F2" s="5" t="s">
        <v>49</v>
      </c>
      <c r="G2" s="5" t="s">
        <v>1411</v>
      </c>
      <c r="H2" s="5" t="s">
        <v>1412</v>
      </c>
      <c r="I2" s="5" t="s">
        <v>1413</v>
      </c>
      <c r="J2" s="5" t="s">
        <v>1414</v>
      </c>
      <c r="K2" s="5" t="s">
        <v>1415</v>
      </c>
      <c r="L2" s="5" t="s">
        <v>1416</v>
      </c>
    </row>
    <row r="3" customFormat="false" ht="22.35" hidden="false" customHeight="false" outlineLevel="0" collapsed="false">
      <c r="A3" s="5" t="s">
        <v>1417</v>
      </c>
      <c r="B3" s="5" t="s">
        <v>44</v>
      </c>
      <c r="C3" s="5" t="s">
        <v>45</v>
      </c>
      <c r="D3" s="5" t="s">
        <v>54</v>
      </c>
      <c r="E3" s="5" t="s">
        <v>1418</v>
      </c>
      <c r="F3" s="5" t="s">
        <v>49</v>
      </c>
      <c r="G3" s="5" t="s">
        <v>1411</v>
      </c>
      <c r="H3" s="5" t="s">
        <v>1419</v>
      </c>
      <c r="I3" s="5" t="s">
        <v>1420</v>
      </c>
      <c r="J3" s="5" t="s">
        <v>1421</v>
      </c>
      <c r="K3" s="5" t="s">
        <v>1422</v>
      </c>
      <c r="L3" s="5" t="s">
        <v>1416</v>
      </c>
    </row>
    <row r="4" customFormat="false" ht="22.35" hidden="false" customHeight="false" outlineLevel="0" collapsed="false">
      <c r="A4" s="5" t="s">
        <v>1423</v>
      </c>
      <c r="B4" s="5" t="s">
        <v>44</v>
      </c>
      <c r="C4" s="5" t="s">
        <v>45</v>
      </c>
      <c r="D4" s="5" t="s">
        <v>54</v>
      </c>
      <c r="E4" s="5" t="s">
        <v>1424</v>
      </c>
      <c r="F4" s="5" t="s">
        <v>49</v>
      </c>
      <c r="G4" s="5" t="s">
        <v>1425</v>
      </c>
      <c r="H4" s="5" t="s">
        <v>1426</v>
      </c>
      <c r="I4" s="5" t="s">
        <v>1427</v>
      </c>
      <c r="J4" s="5" t="s">
        <v>1428</v>
      </c>
      <c r="K4" s="5" t="s">
        <v>1429</v>
      </c>
      <c r="L4" s="5" t="s">
        <v>1416</v>
      </c>
    </row>
    <row r="5" customFormat="false" ht="22.35" hidden="false" customHeight="false" outlineLevel="0" collapsed="false">
      <c r="A5" s="5" t="s">
        <v>1430</v>
      </c>
      <c r="B5" s="5" t="s">
        <v>44</v>
      </c>
      <c r="C5" s="5" t="s">
        <v>45</v>
      </c>
      <c r="D5" s="5" t="s">
        <v>54</v>
      </c>
      <c r="E5" s="5" t="s">
        <v>1338</v>
      </c>
      <c r="F5" s="5" t="s">
        <v>49</v>
      </c>
      <c r="G5" s="5" t="s">
        <v>1338</v>
      </c>
      <c r="H5" s="5" t="s">
        <v>1431</v>
      </c>
      <c r="I5" s="5" t="s">
        <v>1432</v>
      </c>
      <c r="J5" s="5" t="s">
        <v>1433</v>
      </c>
      <c r="K5" s="5" t="s">
        <v>1434</v>
      </c>
      <c r="L5" s="5" t="s">
        <v>1416</v>
      </c>
    </row>
    <row r="6" customFormat="false" ht="22.35" hidden="false" customHeight="false" outlineLevel="0" collapsed="false">
      <c r="A6" s="5" t="s">
        <v>1435</v>
      </c>
      <c r="B6" s="5" t="s">
        <v>62</v>
      </c>
      <c r="C6" s="5" t="s">
        <v>45</v>
      </c>
      <c r="D6" s="5" t="s">
        <v>68</v>
      </c>
      <c r="E6" s="5" t="s">
        <v>1410</v>
      </c>
      <c r="F6" s="5" t="s">
        <v>49</v>
      </c>
      <c r="G6" s="5" t="s">
        <v>1411</v>
      </c>
      <c r="H6" s="5" t="s">
        <v>1436</v>
      </c>
      <c r="I6" s="5" t="s">
        <v>1413</v>
      </c>
      <c r="J6" s="5" t="s">
        <v>1437</v>
      </c>
      <c r="K6" s="5" t="s">
        <v>1415</v>
      </c>
      <c r="L6" s="5" t="s">
        <v>1416</v>
      </c>
    </row>
    <row r="7" customFormat="false" ht="22.35" hidden="false" customHeight="false" outlineLevel="0" collapsed="false">
      <c r="A7" s="5" t="s">
        <v>1438</v>
      </c>
      <c r="B7" s="5" t="s">
        <v>62</v>
      </c>
      <c r="C7" s="5" t="s">
        <v>45</v>
      </c>
      <c r="D7" s="5" t="s">
        <v>68</v>
      </c>
      <c r="E7" s="5" t="s">
        <v>1439</v>
      </c>
      <c r="F7" s="5" t="s">
        <v>49</v>
      </c>
      <c r="G7" s="5" t="s">
        <v>1411</v>
      </c>
      <c r="H7" s="5" t="s">
        <v>1440</v>
      </c>
      <c r="I7" s="5" t="s">
        <v>1441</v>
      </c>
      <c r="J7" s="5" t="s">
        <v>1442</v>
      </c>
      <c r="K7" s="5" t="s">
        <v>1443</v>
      </c>
      <c r="L7" s="5" t="s">
        <v>1416</v>
      </c>
    </row>
    <row r="8" customFormat="false" ht="22.35" hidden="false" customHeight="false" outlineLevel="0" collapsed="false">
      <c r="A8" s="5" t="s">
        <v>1444</v>
      </c>
      <c r="B8" s="5" t="s">
        <v>62</v>
      </c>
      <c r="C8" s="5" t="s">
        <v>45</v>
      </c>
      <c r="D8" s="5" t="s">
        <v>68</v>
      </c>
      <c r="E8" s="5" t="s">
        <v>1439</v>
      </c>
      <c r="F8" s="5" t="s">
        <v>49</v>
      </c>
      <c r="G8" s="5" t="s">
        <v>1411</v>
      </c>
      <c r="H8" s="5" t="s">
        <v>1445</v>
      </c>
      <c r="I8" s="5" t="s">
        <v>1446</v>
      </c>
      <c r="J8" s="5" t="s">
        <v>1442</v>
      </c>
      <c r="K8" s="5" t="s">
        <v>1447</v>
      </c>
      <c r="L8" s="5" t="s">
        <v>1416</v>
      </c>
    </row>
    <row r="9" customFormat="false" ht="22.35" hidden="false" customHeight="false" outlineLevel="0" collapsed="false">
      <c r="A9" s="5" t="s">
        <v>1448</v>
      </c>
      <c r="B9" s="5" t="s">
        <v>62</v>
      </c>
      <c r="C9" s="5" t="s">
        <v>45</v>
      </c>
      <c r="D9" s="5" t="s">
        <v>68</v>
      </c>
      <c r="E9" s="5" t="s">
        <v>1439</v>
      </c>
      <c r="F9" s="5" t="s">
        <v>49</v>
      </c>
      <c r="G9" s="5" t="s">
        <v>1411</v>
      </c>
      <c r="H9" s="5" t="s">
        <v>1449</v>
      </c>
      <c r="I9" s="5" t="s">
        <v>1450</v>
      </c>
      <c r="J9" s="5" t="s">
        <v>1442</v>
      </c>
      <c r="K9" s="5" t="s">
        <v>1451</v>
      </c>
      <c r="L9" s="5" t="s">
        <v>1416</v>
      </c>
    </row>
    <row r="10" customFormat="false" ht="22.35" hidden="false" customHeight="false" outlineLevel="0" collapsed="false">
      <c r="A10" s="5" t="s">
        <v>1452</v>
      </c>
      <c r="B10" s="5" t="s">
        <v>62</v>
      </c>
      <c r="C10" s="5" t="s">
        <v>45</v>
      </c>
      <c r="D10" s="5" t="s">
        <v>68</v>
      </c>
      <c r="E10" s="5" t="s">
        <v>1439</v>
      </c>
      <c r="F10" s="5" t="s">
        <v>49</v>
      </c>
      <c r="G10" s="5" t="s">
        <v>1411</v>
      </c>
      <c r="H10" s="5" t="s">
        <v>1453</v>
      </c>
      <c r="I10" s="5" t="s">
        <v>1454</v>
      </c>
      <c r="J10" s="5" t="s">
        <v>1442</v>
      </c>
      <c r="K10" s="5" t="s">
        <v>1455</v>
      </c>
      <c r="L10" s="5" t="s">
        <v>1416</v>
      </c>
    </row>
    <row r="11" customFormat="false" ht="22.35" hidden="false" customHeight="false" outlineLevel="0" collapsed="false">
      <c r="A11" s="5" t="s">
        <v>1456</v>
      </c>
      <c r="B11" s="5" t="s">
        <v>62</v>
      </c>
      <c r="C11" s="5" t="s">
        <v>45</v>
      </c>
      <c r="D11" s="5" t="s">
        <v>68</v>
      </c>
      <c r="E11" s="5" t="s">
        <v>1439</v>
      </c>
      <c r="F11" s="5" t="s">
        <v>49</v>
      </c>
      <c r="G11" s="5" t="s">
        <v>1411</v>
      </c>
      <c r="H11" s="5" t="s">
        <v>1457</v>
      </c>
      <c r="I11" s="5" t="s">
        <v>1458</v>
      </c>
      <c r="J11" s="5" t="s">
        <v>1442</v>
      </c>
      <c r="K11" s="5" t="s">
        <v>1459</v>
      </c>
      <c r="L11" s="5" t="s">
        <v>1416</v>
      </c>
    </row>
    <row r="12" customFormat="false" ht="22.35" hidden="false" customHeight="false" outlineLevel="0" collapsed="false">
      <c r="A12" s="5" t="s">
        <v>1460</v>
      </c>
      <c r="B12" s="5" t="s">
        <v>62</v>
      </c>
      <c r="C12" s="5" t="s">
        <v>45</v>
      </c>
      <c r="D12" s="5" t="s">
        <v>68</v>
      </c>
      <c r="E12" s="5" t="s">
        <v>1439</v>
      </c>
      <c r="F12" s="5" t="s">
        <v>49</v>
      </c>
      <c r="G12" s="5" t="s">
        <v>1411</v>
      </c>
      <c r="H12" s="5" t="s">
        <v>1461</v>
      </c>
      <c r="I12" s="5" t="s">
        <v>1462</v>
      </c>
      <c r="J12" s="5" t="s">
        <v>1442</v>
      </c>
      <c r="K12" s="5" t="s">
        <v>1463</v>
      </c>
      <c r="L12" s="5" t="s">
        <v>1416</v>
      </c>
    </row>
    <row r="13" customFormat="false" ht="22.35" hidden="false" customHeight="false" outlineLevel="0" collapsed="false">
      <c r="A13" s="5" t="s">
        <v>1464</v>
      </c>
      <c r="B13" s="5" t="s">
        <v>62</v>
      </c>
      <c r="C13" s="5" t="s">
        <v>45</v>
      </c>
      <c r="D13" s="5" t="s">
        <v>68</v>
      </c>
      <c r="E13" s="5" t="s">
        <v>1439</v>
      </c>
      <c r="F13" s="5" t="s">
        <v>49</v>
      </c>
      <c r="G13" s="5" t="s">
        <v>1411</v>
      </c>
      <c r="H13" s="5" t="s">
        <v>1465</v>
      </c>
      <c r="I13" s="5" t="s">
        <v>1466</v>
      </c>
      <c r="J13" s="5" t="s">
        <v>1442</v>
      </c>
      <c r="K13" s="5" t="s">
        <v>1467</v>
      </c>
      <c r="L13" s="5" t="s">
        <v>1416</v>
      </c>
    </row>
    <row r="14" customFormat="false" ht="22.35" hidden="false" customHeight="false" outlineLevel="0" collapsed="false">
      <c r="A14" s="5" t="s">
        <v>1468</v>
      </c>
      <c r="B14" s="5" t="s">
        <v>62</v>
      </c>
      <c r="C14" s="5" t="s">
        <v>45</v>
      </c>
      <c r="D14" s="5" t="s">
        <v>68</v>
      </c>
      <c r="E14" s="5" t="s">
        <v>1439</v>
      </c>
      <c r="F14" s="5" t="s">
        <v>49</v>
      </c>
      <c r="G14" s="5" t="s">
        <v>1411</v>
      </c>
      <c r="H14" s="5" t="s">
        <v>1469</v>
      </c>
      <c r="I14" s="5" t="s">
        <v>1470</v>
      </c>
      <c r="J14" s="5" t="s">
        <v>1442</v>
      </c>
      <c r="K14" s="5" t="s">
        <v>1471</v>
      </c>
      <c r="L14" s="5" t="s">
        <v>1416</v>
      </c>
    </row>
    <row r="15" customFormat="false" ht="22.35" hidden="false" customHeight="false" outlineLevel="0" collapsed="false">
      <c r="A15" s="5" t="s">
        <v>1472</v>
      </c>
      <c r="B15" s="5" t="s">
        <v>62</v>
      </c>
      <c r="C15" s="5" t="s">
        <v>45</v>
      </c>
      <c r="D15" s="5" t="s">
        <v>68</v>
      </c>
      <c r="E15" s="5" t="s">
        <v>1439</v>
      </c>
      <c r="F15" s="5" t="s">
        <v>49</v>
      </c>
      <c r="G15" s="5" t="s">
        <v>1411</v>
      </c>
      <c r="H15" s="5" t="s">
        <v>1473</v>
      </c>
      <c r="I15" s="5" t="s">
        <v>1474</v>
      </c>
      <c r="J15" s="5" t="s">
        <v>1442</v>
      </c>
      <c r="K15" s="5" t="s">
        <v>1475</v>
      </c>
      <c r="L15" s="5" t="s">
        <v>1416</v>
      </c>
    </row>
    <row r="16" customFormat="false" ht="22.35" hidden="false" customHeight="false" outlineLevel="0" collapsed="false">
      <c r="A16" s="5" t="s">
        <v>1476</v>
      </c>
      <c r="B16" s="5" t="s">
        <v>62</v>
      </c>
      <c r="C16" s="5" t="s">
        <v>45</v>
      </c>
      <c r="D16" s="5" t="s">
        <v>68</v>
      </c>
      <c r="E16" s="5" t="s">
        <v>1418</v>
      </c>
      <c r="F16" s="5" t="s">
        <v>49</v>
      </c>
      <c r="G16" s="5" t="s">
        <v>1411</v>
      </c>
      <c r="H16" s="5" t="s">
        <v>1419</v>
      </c>
      <c r="I16" s="5" t="s">
        <v>1477</v>
      </c>
      <c r="J16" s="5" t="s">
        <v>1478</v>
      </c>
      <c r="K16" s="5" t="s">
        <v>1422</v>
      </c>
      <c r="L16" s="5" t="s">
        <v>1416</v>
      </c>
    </row>
    <row r="17" customFormat="false" ht="43.25" hidden="false" customHeight="false" outlineLevel="0" collapsed="false">
      <c r="A17" s="5" t="s">
        <v>1479</v>
      </c>
      <c r="B17" s="5" t="s">
        <v>62</v>
      </c>
      <c r="C17" s="5" t="s">
        <v>45</v>
      </c>
      <c r="D17" s="5" t="s">
        <v>68</v>
      </c>
      <c r="E17" s="5" t="s">
        <v>1480</v>
      </c>
      <c r="F17" s="5" t="s">
        <v>49</v>
      </c>
      <c r="G17" s="5" t="s">
        <v>1411</v>
      </c>
      <c r="H17" s="5" t="s">
        <v>1481</v>
      </c>
      <c r="I17" s="5" t="s">
        <v>74</v>
      </c>
      <c r="J17" s="5" t="s">
        <v>1482</v>
      </c>
      <c r="K17" s="5" t="s">
        <v>1483</v>
      </c>
      <c r="L17" s="5" t="s">
        <v>1416</v>
      </c>
    </row>
    <row r="18" customFormat="false" ht="22.35" hidden="false" customHeight="false" outlineLevel="0" collapsed="false">
      <c r="A18" s="5" t="s">
        <v>1484</v>
      </c>
      <c r="B18" s="5" t="s">
        <v>62</v>
      </c>
      <c r="C18" s="5" t="s">
        <v>45</v>
      </c>
      <c r="D18" s="5" t="s">
        <v>68</v>
      </c>
      <c r="E18" s="5" t="s">
        <v>1424</v>
      </c>
      <c r="F18" s="5" t="s">
        <v>49</v>
      </c>
      <c r="G18" s="5" t="s">
        <v>1425</v>
      </c>
      <c r="H18" s="5" t="s">
        <v>1485</v>
      </c>
      <c r="I18" s="5" t="s">
        <v>1427</v>
      </c>
      <c r="J18" s="5" t="s">
        <v>1428</v>
      </c>
      <c r="K18" s="5" t="s">
        <v>1429</v>
      </c>
      <c r="L18" s="5" t="s">
        <v>1416</v>
      </c>
    </row>
    <row r="19" customFormat="false" ht="22.35" hidden="false" customHeight="false" outlineLevel="0" collapsed="false">
      <c r="A19" s="5" t="s">
        <v>1486</v>
      </c>
      <c r="B19" s="5" t="s">
        <v>62</v>
      </c>
      <c r="C19" s="5" t="s">
        <v>45</v>
      </c>
      <c r="D19" s="5" t="s">
        <v>68</v>
      </c>
      <c r="E19" s="5" t="s">
        <v>1338</v>
      </c>
      <c r="F19" s="5" t="s">
        <v>49</v>
      </c>
      <c r="G19" s="5" t="s">
        <v>1338</v>
      </c>
      <c r="H19" s="5" t="s">
        <v>1487</v>
      </c>
      <c r="I19" s="5" t="s">
        <v>1432</v>
      </c>
      <c r="J19" s="5" t="s">
        <v>1433</v>
      </c>
      <c r="K19" s="5" t="s">
        <v>1434</v>
      </c>
      <c r="L19" s="5" t="s">
        <v>1416</v>
      </c>
    </row>
    <row r="20" customFormat="false" ht="22.35" hidden="false" customHeight="false" outlineLevel="0" collapsed="false">
      <c r="A20" s="5" t="s">
        <v>1488</v>
      </c>
      <c r="B20" s="5" t="s">
        <v>78</v>
      </c>
      <c r="C20" s="5" t="s">
        <v>45</v>
      </c>
      <c r="D20" s="5" t="s">
        <v>83</v>
      </c>
      <c r="E20" s="5" t="s">
        <v>1410</v>
      </c>
      <c r="F20" s="5" t="s">
        <v>49</v>
      </c>
      <c r="G20" s="5" t="s">
        <v>1411</v>
      </c>
      <c r="H20" s="5" t="s">
        <v>1489</v>
      </c>
      <c r="I20" s="5" t="s">
        <v>1413</v>
      </c>
      <c r="J20" s="5" t="s">
        <v>1490</v>
      </c>
      <c r="K20" s="5" t="s">
        <v>1415</v>
      </c>
      <c r="L20" s="5" t="s">
        <v>1416</v>
      </c>
    </row>
    <row r="21" customFormat="false" ht="22.35" hidden="false" customHeight="false" outlineLevel="0" collapsed="false">
      <c r="A21" s="5" t="s">
        <v>1491</v>
      </c>
      <c r="B21" s="5" t="s">
        <v>78</v>
      </c>
      <c r="C21" s="5" t="s">
        <v>45</v>
      </c>
      <c r="D21" s="5" t="s">
        <v>83</v>
      </c>
      <c r="E21" s="5" t="s">
        <v>1439</v>
      </c>
      <c r="F21" s="5" t="s">
        <v>49</v>
      </c>
      <c r="G21" s="5" t="s">
        <v>1411</v>
      </c>
      <c r="H21" s="5" t="s">
        <v>1440</v>
      </c>
      <c r="I21" s="5" t="s">
        <v>1441</v>
      </c>
      <c r="J21" s="5" t="s">
        <v>1492</v>
      </c>
      <c r="K21" s="5" t="s">
        <v>1443</v>
      </c>
      <c r="L21" s="5" t="s">
        <v>1416</v>
      </c>
    </row>
    <row r="22" customFormat="false" ht="22.35" hidden="false" customHeight="false" outlineLevel="0" collapsed="false">
      <c r="A22" s="5" t="s">
        <v>1493</v>
      </c>
      <c r="B22" s="5" t="s">
        <v>78</v>
      </c>
      <c r="C22" s="5" t="s">
        <v>45</v>
      </c>
      <c r="D22" s="5" t="s">
        <v>83</v>
      </c>
      <c r="E22" s="5" t="s">
        <v>1439</v>
      </c>
      <c r="F22" s="5" t="s">
        <v>49</v>
      </c>
      <c r="G22" s="5" t="s">
        <v>1411</v>
      </c>
      <c r="H22" s="5" t="s">
        <v>1494</v>
      </c>
      <c r="I22" s="5" t="s">
        <v>1495</v>
      </c>
      <c r="J22" s="5" t="s">
        <v>1492</v>
      </c>
      <c r="K22" s="5" t="s">
        <v>1496</v>
      </c>
      <c r="L22" s="5" t="s">
        <v>1416</v>
      </c>
    </row>
    <row r="23" customFormat="false" ht="22.35" hidden="false" customHeight="false" outlineLevel="0" collapsed="false">
      <c r="A23" s="5" t="s">
        <v>1497</v>
      </c>
      <c r="B23" s="5" t="s">
        <v>78</v>
      </c>
      <c r="C23" s="5" t="s">
        <v>45</v>
      </c>
      <c r="D23" s="5" t="s">
        <v>83</v>
      </c>
      <c r="E23" s="5" t="s">
        <v>1439</v>
      </c>
      <c r="F23" s="5" t="s">
        <v>49</v>
      </c>
      <c r="G23" s="5" t="s">
        <v>1411</v>
      </c>
      <c r="H23" s="5" t="s">
        <v>1453</v>
      </c>
      <c r="I23" s="5" t="s">
        <v>1454</v>
      </c>
      <c r="J23" s="5" t="s">
        <v>1492</v>
      </c>
      <c r="K23" s="5" t="s">
        <v>1455</v>
      </c>
      <c r="L23" s="5" t="s">
        <v>1416</v>
      </c>
    </row>
    <row r="24" customFormat="false" ht="22.35" hidden="false" customHeight="false" outlineLevel="0" collapsed="false">
      <c r="A24" s="5" t="s">
        <v>1498</v>
      </c>
      <c r="B24" s="5" t="s">
        <v>78</v>
      </c>
      <c r="C24" s="5" t="s">
        <v>45</v>
      </c>
      <c r="D24" s="5" t="s">
        <v>83</v>
      </c>
      <c r="E24" s="5" t="s">
        <v>1439</v>
      </c>
      <c r="F24" s="5" t="s">
        <v>49</v>
      </c>
      <c r="G24" s="5" t="s">
        <v>1411</v>
      </c>
      <c r="H24" s="5" t="s">
        <v>1449</v>
      </c>
      <c r="I24" s="5" t="s">
        <v>1450</v>
      </c>
      <c r="J24" s="5" t="s">
        <v>1492</v>
      </c>
      <c r="K24" s="5" t="s">
        <v>1451</v>
      </c>
      <c r="L24" s="5" t="s">
        <v>1416</v>
      </c>
    </row>
    <row r="25" customFormat="false" ht="22.35" hidden="false" customHeight="false" outlineLevel="0" collapsed="false">
      <c r="A25" s="5" t="s">
        <v>1499</v>
      </c>
      <c r="B25" s="5" t="s">
        <v>78</v>
      </c>
      <c r="C25" s="5" t="s">
        <v>45</v>
      </c>
      <c r="D25" s="5" t="s">
        <v>83</v>
      </c>
      <c r="E25" s="5" t="s">
        <v>1439</v>
      </c>
      <c r="F25" s="5" t="s">
        <v>49</v>
      </c>
      <c r="G25" s="5" t="s">
        <v>1411</v>
      </c>
      <c r="H25" s="5" t="s">
        <v>1500</v>
      </c>
      <c r="I25" s="5" t="s">
        <v>1501</v>
      </c>
      <c r="J25" s="5" t="s">
        <v>1492</v>
      </c>
      <c r="K25" s="5" t="s">
        <v>1502</v>
      </c>
      <c r="L25" s="5" t="s">
        <v>1416</v>
      </c>
    </row>
    <row r="26" customFormat="false" ht="22.35" hidden="false" customHeight="false" outlineLevel="0" collapsed="false">
      <c r="A26" s="5" t="s">
        <v>1503</v>
      </c>
      <c r="B26" s="5" t="s">
        <v>78</v>
      </c>
      <c r="C26" s="5" t="s">
        <v>45</v>
      </c>
      <c r="D26" s="5" t="s">
        <v>83</v>
      </c>
      <c r="E26" s="5" t="s">
        <v>1439</v>
      </c>
      <c r="F26" s="5" t="s">
        <v>49</v>
      </c>
      <c r="G26" s="5" t="s">
        <v>1411</v>
      </c>
      <c r="H26" s="5" t="s">
        <v>1469</v>
      </c>
      <c r="I26" s="5" t="s">
        <v>1470</v>
      </c>
      <c r="J26" s="5" t="s">
        <v>1492</v>
      </c>
      <c r="K26" s="5" t="s">
        <v>1471</v>
      </c>
      <c r="L26" s="5" t="s">
        <v>1416</v>
      </c>
    </row>
    <row r="27" customFormat="false" ht="22.35" hidden="false" customHeight="false" outlineLevel="0" collapsed="false">
      <c r="A27" s="5" t="s">
        <v>1504</v>
      </c>
      <c r="B27" s="5" t="s">
        <v>78</v>
      </c>
      <c r="C27" s="5" t="s">
        <v>45</v>
      </c>
      <c r="D27" s="5" t="s">
        <v>83</v>
      </c>
      <c r="E27" s="5" t="s">
        <v>1418</v>
      </c>
      <c r="F27" s="5" t="s">
        <v>49</v>
      </c>
      <c r="G27" s="5" t="s">
        <v>1411</v>
      </c>
      <c r="H27" s="5" t="s">
        <v>1419</v>
      </c>
      <c r="I27" s="5" t="s">
        <v>1477</v>
      </c>
      <c r="J27" s="5" t="s">
        <v>1505</v>
      </c>
      <c r="K27" s="5" t="s">
        <v>1422</v>
      </c>
      <c r="L27" s="5" t="s">
        <v>1416</v>
      </c>
    </row>
    <row r="28" customFormat="false" ht="22.35" hidden="false" customHeight="false" outlineLevel="0" collapsed="false">
      <c r="A28" s="5" t="s">
        <v>1506</v>
      </c>
      <c r="B28" s="5" t="s">
        <v>78</v>
      </c>
      <c r="C28" s="5" t="s">
        <v>45</v>
      </c>
      <c r="D28" s="5" t="s">
        <v>83</v>
      </c>
      <c r="E28" s="5" t="s">
        <v>1480</v>
      </c>
      <c r="F28" s="5" t="s">
        <v>49</v>
      </c>
      <c r="G28" s="5" t="s">
        <v>1411</v>
      </c>
      <c r="H28" s="5" t="s">
        <v>1481</v>
      </c>
      <c r="I28" s="5" t="s">
        <v>88</v>
      </c>
      <c r="J28" s="5" t="s">
        <v>1507</v>
      </c>
      <c r="K28" s="5" t="s">
        <v>1483</v>
      </c>
      <c r="L28" s="5" t="s">
        <v>1416</v>
      </c>
    </row>
    <row r="29" customFormat="false" ht="22.35" hidden="false" customHeight="false" outlineLevel="0" collapsed="false">
      <c r="A29" s="5" t="s">
        <v>1508</v>
      </c>
      <c r="B29" s="5" t="s">
        <v>78</v>
      </c>
      <c r="C29" s="5" t="s">
        <v>45</v>
      </c>
      <c r="D29" s="5" t="s">
        <v>83</v>
      </c>
      <c r="E29" s="5" t="s">
        <v>1424</v>
      </c>
      <c r="F29" s="5" t="s">
        <v>49</v>
      </c>
      <c r="G29" s="5" t="s">
        <v>1425</v>
      </c>
      <c r="H29" s="5" t="s">
        <v>1509</v>
      </c>
      <c r="I29" s="5" t="s">
        <v>1427</v>
      </c>
      <c r="J29" s="5" t="s">
        <v>1428</v>
      </c>
      <c r="K29" s="5" t="s">
        <v>1429</v>
      </c>
      <c r="L29" s="5" t="s">
        <v>1416</v>
      </c>
    </row>
    <row r="30" customFormat="false" ht="22.35" hidden="false" customHeight="false" outlineLevel="0" collapsed="false">
      <c r="A30" s="5" t="s">
        <v>1510</v>
      </c>
      <c r="B30" s="5" t="s">
        <v>78</v>
      </c>
      <c r="C30" s="5" t="s">
        <v>45</v>
      </c>
      <c r="D30" s="5" t="s">
        <v>83</v>
      </c>
      <c r="E30" s="5" t="s">
        <v>1338</v>
      </c>
      <c r="F30" s="5" t="s">
        <v>49</v>
      </c>
      <c r="G30" s="5" t="s">
        <v>1338</v>
      </c>
      <c r="H30" s="5" t="s">
        <v>1511</v>
      </c>
      <c r="I30" s="5" t="s">
        <v>1432</v>
      </c>
      <c r="J30" s="5" t="s">
        <v>1433</v>
      </c>
      <c r="K30" s="5" t="s">
        <v>1434</v>
      </c>
      <c r="L30" s="5" t="s">
        <v>1416</v>
      </c>
    </row>
    <row r="31" customFormat="false" ht="22.35" hidden="false" customHeight="false" outlineLevel="0" collapsed="false">
      <c r="A31" s="5" t="s">
        <v>1512</v>
      </c>
      <c r="B31" s="5" t="s">
        <v>91</v>
      </c>
      <c r="C31" s="5" t="s">
        <v>45</v>
      </c>
      <c r="D31" s="5" t="s">
        <v>97</v>
      </c>
      <c r="E31" s="5" t="s">
        <v>1410</v>
      </c>
      <c r="F31" s="5" t="s">
        <v>49</v>
      </c>
      <c r="G31" s="5" t="s">
        <v>1411</v>
      </c>
      <c r="H31" s="5" t="s">
        <v>1513</v>
      </c>
      <c r="I31" s="5" t="s">
        <v>1413</v>
      </c>
      <c r="J31" s="5" t="s">
        <v>1514</v>
      </c>
      <c r="K31" s="5" t="s">
        <v>1415</v>
      </c>
      <c r="L31" s="5" t="s">
        <v>1416</v>
      </c>
    </row>
    <row r="32" customFormat="false" ht="22.35" hidden="false" customHeight="false" outlineLevel="0" collapsed="false">
      <c r="A32" s="5" t="s">
        <v>1515</v>
      </c>
      <c r="B32" s="5" t="s">
        <v>91</v>
      </c>
      <c r="C32" s="5" t="s">
        <v>45</v>
      </c>
      <c r="D32" s="5" t="s">
        <v>97</v>
      </c>
      <c r="E32" s="5" t="s">
        <v>1439</v>
      </c>
      <c r="F32" s="5" t="s">
        <v>49</v>
      </c>
      <c r="G32" s="5" t="s">
        <v>1411</v>
      </c>
      <c r="H32" s="5" t="s">
        <v>1469</v>
      </c>
      <c r="I32" s="5" t="s">
        <v>1470</v>
      </c>
      <c r="J32" s="5" t="s">
        <v>1516</v>
      </c>
      <c r="K32" s="5" t="s">
        <v>1471</v>
      </c>
      <c r="L32" s="5" t="s">
        <v>1416</v>
      </c>
    </row>
    <row r="33" customFormat="false" ht="22.35" hidden="false" customHeight="false" outlineLevel="0" collapsed="false">
      <c r="A33" s="5" t="s">
        <v>1517</v>
      </c>
      <c r="B33" s="5" t="s">
        <v>91</v>
      </c>
      <c r="C33" s="5" t="s">
        <v>45</v>
      </c>
      <c r="D33" s="5" t="s">
        <v>97</v>
      </c>
      <c r="E33" s="5" t="s">
        <v>1418</v>
      </c>
      <c r="F33" s="5" t="s">
        <v>49</v>
      </c>
      <c r="G33" s="5" t="s">
        <v>1411</v>
      </c>
      <c r="H33" s="5" t="s">
        <v>1419</v>
      </c>
      <c r="I33" s="5" t="s">
        <v>1518</v>
      </c>
      <c r="J33" s="5" t="s">
        <v>1519</v>
      </c>
      <c r="K33" s="5" t="s">
        <v>1422</v>
      </c>
      <c r="L33" s="5" t="s">
        <v>1416</v>
      </c>
    </row>
    <row r="34" customFormat="false" ht="22.35" hidden="false" customHeight="false" outlineLevel="0" collapsed="false">
      <c r="A34" s="5" t="s">
        <v>1520</v>
      </c>
      <c r="B34" s="5" t="s">
        <v>91</v>
      </c>
      <c r="C34" s="5" t="s">
        <v>45</v>
      </c>
      <c r="D34" s="5" t="s">
        <v>97</v>
      </c>
      <c r="E34" s="5" t="s">
        <v>1424</v>
      </c>
      <c r="F34" s="5" t="s">
        <v>49</v>
      </c>
      <c r="G34" s="5" t="s">
        <v>1425</v>
      </c>
      <c r="H34" s="5" t="s">
        <v>1521</v>
      </c>
      <c r="I34" s="5" t="s">
        <v>1427</v>
      </c>
      <c r="J34" s="5" t="s">
        <v>1428</v>
      </c>
      <c r="K34" s="5" t="s">
        <v>1429</v>
      </c>
      <c r="L34" s="5" t="s">
        <v>1416</v>
      </c>
    </row>
    <row r="35" customFormat="false" ht="22.35" hidden="false" customHeight="false" outlineLevel="0" collapsed="false">
      <c r="A35" s="5" t="s">
        <v>1522</v>
      </c>
      <c r="B35" s="5" t="s">
        <v>104</v>
      </c>
      <c r="C35" s="5" t="s">
        <v>45</v>
      </c>
      <c r="D35" s="5" t="s">
        <v>97</v>
      </c>
      <c r="E35" s="5" t="s">
        <v>1410</v>
      </c>
      <c r="F35" s="5" t="s">
        <v>107</v>
      </c>
      <c r="G35" s="5" t="s">
        <v>1411</v>
      </c>
      <c r="H35" s="5" t="s">
        <v>1523</v>
      </c>
      <c r="I35" s="5" t="s">
        <v>1413</v>
      </c>
      <c r="J35" s="5" t="s">
        <v>1524</v>
      </c>
      <c r="K35" s="5" t="s">
        <v>1415</v>
      </c>
      <c r="L35" s="5" t="s">
        <v>1416</v>
      </c>
    </row>
    <row r="36" customFormat="false" ht="22.35" hidden="false" customHeight="false" outlineLevel="0" collapsed="false">
      <c r="A36" s="5" t="s">
        <v>1525</v>
      </c>
      <c r="B36" s="5" t="s">
        <v>104</v>
      </c>
      <c r="C36" s="5" t="s">
        <v>45</v>
      </c>
      <c r="D36" s="5" t="s">
        <v>97</v>
      </c>
      <c r="E36" s="5" t="s">
        <v>1439</v>
      </c>
      <c r="F36" s="5" t="s">
        <v>107</v>
      </c>
      <c r="G36" s="5" t="s">
        <v>1411</v>
      </c>
      <c r="H36" s="5" t="s">
        <v>1440</v>
      </c>
      <c r="I36" s="5" t="s">
        <v>1441</v>
      </c>
      <c r="J36" s="5" t="s">
        <v>1526</v>
      </c>
      <c r="K36" s="5" t="s">
        <v>1443</v>
      </c>
      <c r="L36" s="5" t="s">
        <v>1416</v>
      </c>
    </row>
    <row r="37" customFormat="false" ht="22.35" hidden="false" customHeight="false" outlineLevel="0" collapsed="false">
      <c r="A37" s="5" t="s">
        <v>1527</v>
      </c>
      <c r="B37" s="5" t="s">
        <v>104</v>
      </c>
      <c r="C37" s="5" t="s">
        <v>45</v>
      </c>
      <c r="D37" s="5" t="s">
        <v>97</v>
      </c>
      <c r="E37" s="5" t="s">
        <v>1439</v>
      </c>
      <c r="F37" s="5" t="s">
        <v>107</v>
      </c>
      <c r="G37" s="5" t="s">
        <v>1411</v>
      </c>
      <c r="H37" s="5" t="s">
        <v>1469</v>
      </c>
      <c r="I37" s="5" t="s">
        <v>1470</v>
      </c>
      <c r="J37" s="5" t="s">
        <v>1526</v>
      </c>
      <c r="K37" s="5" t="s">
        <v>1471</v>
      </c>
      <c r="L37" s="5" t="s">
        <v>1416</v>
      </c>
    </row>
    <row r="38" customFormat="false" ht="22.35" hidden="false" customHeight="false" outlineLevel="0" collapsed="false">
      <c r="A38" s="5" t="s">
        <v>1528</v>
      </c>
      <c r="B38" s="5" t="s">
        <v>104</v>
      </c>
      <c r="C38" s="5" t="s">
        <v>45</v>
      </c>
      <c r="D38" s="5" t="s">
        <v>97</v>
      </c>
      <c r="E38" s="5" t="s">
        <v>1418</v>
      </c>
      <c r="F38" s="5" t="s">
        <v>107</v>
      </c>
      <c r="G38" s="5" t="s">
        <v>1411</v>
      </c>
      <c r="H38" s="5" t="s">
        <v>1419</v>
      </c>
      <c r="I38" s="5" t="s">
        <v>1518</v>
      </c>
      <c r="J38" s="5" t="s">
        <v>1529</v>
      </c>
      <c r="K38" s="5" t="s">
        <v>1422</v>
      </c>
      <c r="L38" s="5" t="s">
        <v>1416</v>
      </c>
    </row>
    <row r="39" customFormat="false" ht="22.35" hidden="false" customHeight="false" outlineLevel="0" collapsed="false">
      <c r="A39" s="5" t="s">
        <v>1530</v>
      </c>
      <c r="B39" s="5" t="s">
        <v>104</v>
      </c>
      <c r="C39" s="5" t="s">
        <v>45</v>
      </c>
      <c r="D39" s="5" t="s">
        <v>97</v>
      </c>
      <c r="E39" s="5" t="s">
        <v>1424</v>
      </c>
      <c r="F39" s="5" t="s">
        <v>107</v>
      </c>
      <c r="G39" s="5" t="s">
        <v>1425</v>
      </c>
      <c r="H39" s="5" t="s">
        <v>1531</v>
      </c>
      <c r="I39" s="5" t="s">
        <v>1427</v>
      </c>
      <c r="J39" s="5" t="s">
        <v>1428</v>
      </c>
      <c r="K39" s="5" t="s">
        <v>1429</v>
      </c>
      <c r="L39" s="5" t="s">
        <v>1416</v>
      </c>
    </row>
    <row r="40" customFormat="false" ht="32.8" hidden="false" customHeight="false" outlineLevel="0" collapsed="false">
      <c r="A40" s="5" t="s">
        <v>1532</v>
      </c>
      <c r="B40" s="5" t="s">
        <v>113</v>
      </c>
      <c r="C40" s="5" t="s">
        <v>45</v>
      </c>
      <c r="D40" s="5" t="s">
        <v>118</v>
      </c>
      <c r="E40" s="5" t="s">
        <v>1410</v>
      </c>
      <c r="F40" s="5" t="s">
        <v>49</v>
      </c>
      <c r="G40" s="5" t="s">
        <v>1411</v>
      </c>
      <c r="H40" s="5" t="s">
        <v>1533</v>
      </c>
      <c r="I40" s="5" t="s">
        <v>1413</v>
      </c>
      <c r="J40" s="5" t="s">
        <v>1534</v>
      </c>
      <c r="K40" s="5" t="s">
        <v>1415</v>
      </c>
      <c r="L40" s="5" t="s">
        <v>1416</v>
      </c>
    </row>
    <row r="41" customFormat="false" ht="22.35" hidden="false" customHeight="false" outlineLevel="0" collapsed="false">
      <c r="A41" s="5" t="s">
        <v>1535</v>
      </c>
      <c r="B41" s="5" t="s">
        <v>113</v>
      </c>
      <c r="C41" s="5" t="s">
        <v>45</v>
      </c>
      <c r="D41" s="5" t="s">
        <v>118</v>
      </c>
      <c r="E41" s="5" t="s">
        <v>1439</v>
      </c>
      <c r="F41" s="5" t="s">
        <v>49</v>
      </c>
      <c r="G41" s="5" t="s">
        <v>1411</v>
      </c>
      <c r="H41" s="5" t="s">
        <v>1536</v>
      </c>
      <c r="I41" s="5" t="s">
        <v>1537</v>
      </c>
      <c r="J41" s="5" t="s">
        <v>1538</v>
      </c>
      <c r="K41" s="5" t="s">
        <v>1539</v>
      </c>
      <c r="L41" s="5" t="s">
        <v>1416</v>
      </c>
    </row>
    <row r="42" customFormat="false" ht="22.35" hidden="false" customHeight="false" outlineLevel="0" collapsed="false">
      <c r="A42" s="5" t="s">
        <v>1540</v>
      </c>
      <c r="B42" s="5" t="s">
        <v>113</v>
      </c>
      <c r="C42" s="5" t="s">
        <v>45</v>
      </c>
      <c r="D42" s="5" t="s">
        <v>118</v>
      </c>
      <c r="E42" s="5" t="s">
        <v>1439</v>
      </c>
      <c r="F42" s="5" t="s">
        <v>49</v>
      </c>
      <c r="G42" s="5" t="s">
        <v>1411</v>
      </c>
      <c r="H42" s="5" t="s">
        <v>1473</v>
      </c>
      <c r="I42" s="5" t="s">
        <v>1474</v>
      </c>
      <c r="J42" s="5" t="s">
        <v>1538</v>
      </c>
      <c r="K42" s="5" t="s">
        <v>1475</v>
      </c>
      <c r="L42" s="5" t="s">
        <v>1416</v>
      </c>
    </row>
    <row r="43" customFormat="false" ht="32.8" hidden="false" customHeight="false" outlineLevel="0" collapsed="false">
      <c r="A43" s="5" t="s">
        <v>1541</v>
      </c>
      <c r="B43" s="5" t="s">
        <v>113</v>
      </c>
      <c r="C43" s="5" t="s">
        <v>45</v>
      </c>
      <c r="D43" s="5" t="s">
        <v>118</v>
      </c>
      <c r="E43" s="5" t="s">
        <v>1418</v>
      </c>
      <c r="F43" s="5" t="s">
        <v>49</v>
      </c>
      <c r="G43" s="5" t="s">
        <v>1411</v>
      </c>
      <c r="H43" s="5" t="s">
        <v>1419</v>
      </c>
      <c r="I43" s="5" t="s">
        <v>1420</v>
      </c>
      <c r="J43" s="5" t="s">
        <v>1542</v>
      </c>
      <c r="K43" s="5" t="s">
        <v>1422</v>
      </c>
      <c r="L43" s="5" t="s">
        <v>1416</v>
      </c>
    </row>
    <row r="44" customFormat="false" ht="22.35" hidden="false" customHeight="false" outlineLevel="0" collapsed="false">
      <c r="A44" s="5" t="s">
        <v>1543</v>
      </c>
      <c r="B44" s="5" t="s">
        <v>113</v>
      </c>
      <c r="C44" s="5" t="s">
        <v>45</v>
      </c>
      <c r="D44" s="5" t="s">
        <v>118</v>
      </c>
      <c r="E44" s="5" t="s">
        <v>1424</v>
      </c>
      <c r="F44" s="5" t="s">
        <v>49</v>
      </c>
      <c r="G44" s="5" t="s">
        <v>1425</v>
      </c>
      <c r="H44" s="5" t="s">
        <v>1544</v>
      </c>
      <c r="I44" s="5" t="s">
        <v>1427</v>
      </c>
      <c r="J44" s="5" t="s">
        <v>1428</v>
      </c>
      <c r="K44" s="5" t="s">
        <v>1429</v>
      </c>
      <c r="L44" s="5" t="s">
        <v>1416</v>
      </c>
    </row>
    <row r="45" customFormat="false" ht="22.35" hidden="false" customHeight="false" outlineLevel="0" collapsed="false">
      <c r="A45" s="5" t="s">
        <v>1545</v>
      </c>
      <c r="B45" s="5" t="s">
        <v>113</v>
      </c>
      <c r="C45" s="5" t="s">
        <v>45</v>
      </c>
      <c r="D45" s="5" t="s">
        <v>118</v>
      </c>
      <c r="E45" s="5" t="s">
        <v>1338</v>
      </c>
      <c r="F45" s="5" t="s">
        <v>49</v>
      </c>
      <c r="G45" s="5" t="s">
        <v>1338</v>
      </c>
      <c r="H45" s="5" t="s">
        <v>1546</v>
      </c>
      <c r="I45" s="5" t="s">
        <v>1432</v>
      </c>
      <c r="J45" s="5" t="s">
        <v>1433</v>
      </c>
      <c r="K45" s="5" t="s">
        <v>1434</v>
      </c>
      <c r="L45" s="5" t="s">
        <v>1416</v>
      </c>
    </row>
    <row r="46" customFormat="false" ht="22.35" hidden="false" customHeight="false" outlineLevel="0" collapsed="false">
      <c r="A46" s="5" t="s">
        <v>1547</v>
      </c>
      <c r="B46" s="5" t="s">
        <v>123</v>
      </c>
      <c r="C46" s="5" t="s">
        <v>45</v>
      </c>
      <c r="D46" s="5" t="s">
        <v>129</v>
      </c>
      <c r="E46" s="5" t="s">
        <v>1410</v>
      </c>
      <c r="F46" s="5" t="s">
        <v>49</v>
      </c>
      <c r="G46" s="5" t="s">
        <v>1425</v>
      </c>
      <c r="H46" s="5" t="s">
        <v>1548</v>
      </c>
      <c r="I46" s="5" t="s">
        <v>1549</v>
      </c>
      <c r="J46" s="5" t="s">
        <v>1550</v>
      </c>
      <c r="K46" s="5" t="s">
        <v>1551</v>
      </c>
      <c r="L46" s="5" t="s">
        <v>1416</v>
      </c>
    </row>
    <row r="47" customFormat="false" ht="22.35" hidden="false" customHeight="false" outlineLevel="0" collapsed="false">
      <c r="A47" s="5" t="s">
        <v>1552</v>
      </c>
      <c r="B47" s="5" t="s">
        <v>123</v>
      </c>
      <c r="C47" s="5" t="s">
        <v>45</v>
      </c>
      <c r="D47" s="5" t="s">
        <v>129</v>
      </c>
      <c r="E47" s="5" t="s">
        <v>1553</v>
      </c>
      <c r="F47" s="5" t="s">
        <v>49</v>
      </c>
      <c r="G47" s="5" t="s">
        <v>1425</v>
      </c>
      <c r="H47" s="5" t="s">
        <v>1554</v>
      </c>
      <c r="I47" s="5" t="s">
        <v>1555</v>
      </c>
      <c r="J47" s="5" t="s">
        <v>1556</v>
      </c>
      <c r="K47" s="5" t="s">
        <v>1557</v>
      </c>
      <c r="L47" s="5" t="s">
        <v>1416</v>
      </c>
    </row>
    <row r="48" customFormat="false" ht="22.35" hidden="false" customHeight="false" outlineLevel="0" collapsed="false">
      <c r="A48" s="5" t="s">
        <v>1558</v>
      </c>
      <c r="B48" s="5" t="s">
        <v>123</v>
      </c>
      <c r="C48" s="5" t="s">
        <v>45</v>
      </c>
      <c r="D48" s="5" t="s">
        <v>129</v>
      </c>
      <c r="E48" s="5" t="s">
        <v>1424</v>
      </c>
      <c r="F48" s="5" t="s">
        <v>49</v>
      </c>
      <c r="G48" s="5" t="s">
        <v>1425</v>
      </c>
      <c r="H48" s="5" t="s">
        <v>1559</v>
      </c>
      <c r="I48" s="5" t="s">
        <v>1560</v>
      </c>
      <c r="J48" s="5" t="s">
        <v>1561</v>
      </c>
      <c r="K48" s="5" t="s">
        <v>1562</v>
      </c>
      <c r="L48" s="5" t="s">
        <v>1416</v>
      </c>
    </row>
    <row r="49" customFormat="false" ht="22.35" hidden="false" customHeight="false" outlineLevel="0" collapsed="false">
      <c r="A49" s="5" t="s">
        <v>1563</v>
      </c>
      <c r="B49" s="5" t="s">
        <v>123</v>
      </c>
      <c r="C49" s="5" t="s">
        <v>45</v>
      </c>
      <c r="D49" s="5" t="s">
        <v>129</v>
      </c>
      <c r="E49" s="5" t="s">
        <v>1338</v>
      </c>
      <c r="F49" s="5" t="s">
        <v>49</v>
      </c>
      <c r="G49" s="5" t="s">
        <v>1338</v>
      </c>
      <c r="H49" s="5" t="s">
        <v>1564</v>
      </c>
      <c r="I49" s="5" t="s">
        <v>1432</v>
      </c>
      <c r="J49" s="5" t="s">
        <v>1433</v>
      </c>
      <c r="K49" s="5" t="s">
        <v>1434</v>
      </c>
      <c r="L49" s="5" t="s">
        <v>1416</v>
      </c>
    </row>
    <row r="50" customFormat="false" ht="22.35" hidden="false" customHeight="false" outlineLevel="0" collapsed="false">
      <c r="A50" s="5" t="s">
        <v>1565</v>
      </c>
      <c r="B50" s="5" t="s">
        <v>138</v>
      </c>
      <c r="C50" s="5" t="s">
        <v>45</v>
      </c>
      <c r="D50" s="5" t="s">
        <v>141</v>
      </c>
      <c r="E50" s="5" t="s">
        <v>1410</v>
      </c>
      <c r="F50" s="5" t="s">
        <v>107</v>
      </c>
      <c r="G50" s="5" t="s">
        <v>1411</v>
      </c>
      <c r="H50" s="5" t="s">
        <v>1566</v>
      </c>
      <c r="I50" s="5" t="s">
        <v>1413</v>
      </c>
      <c r="J50" s="5" t="s">
        <v>1567</v>
      </c>
      <c r="K50" s="5" t="s">
        <v>1415</v>
      </c>
      <c r="L50" s="5" t="s">
        <v>1416</v>
      </c>
    </row>
    <row r="51" customFormat="false" ht="22.35" hidden="false" customHeight="false" outlineLevel="0" collapsed="false">
      <c r="A51" s="5" t="s">
        <v>1568</v>
      </c>
      <c r="B51" s="5" t="s">
        <v>138</v>
      </c>
      <c r="C51" s="5" t="s">
        <v>45</v>
      </c>
      <c r="D51" s="5" t="s">
        <v>141</v>
      </c>
      <c r="E51" s="5" t="s">
        <v>1418</v>
      </c>
      <c r="F51" s="5" t="s">
        <v>107</v>
      </c>
      <c r="G51" s="5" t="s">
        <v>1411</v>
      </c>
      <c r="H51" s="5" t="s">
        <v>1419</v>
      </c>
      <c r="I51" s="5" t="s">
        <v>1420</v>
      </c>
      <c r="J51" s="5" t="s">
        <v>1569</v>
      </c>
      <c r="K51" s="5" t="s">
        <v>1422</v>
      </c>
      <c r="L51" s="5" t="s">
        <v>1416</v>
      </c>
    </row>
    <row r="52" customFormat="false" ht="22.35" hidden="false" customHeight="false" outlineLevel="0" collapsed="false">
      <c r="A52" s="5" t="s">
        <v>1570</v>
      </c>
      <c r="B52" s="5" t="s">
        <v>138</v>
      </c>
      <c r="C52" s="5" t="s">
        <v>45</v>
      </c>
      <c r="D52" s="5" t="s">
        <v>141</v>
      </c>
      <c r="E52" s="5" t="s">
        <v>1424</v>
      </c>
      <c r="F52" s="5" t="s">
        <v>107</v>
      </c>
      <c r="G52" s="5" t="s">
        <v>1425</v>
      </c>
      <c r="H52" s="5" t="s">
        <v>1571</v>
      </c>
      <c r="I52" s="5" t="s">
        <v>1427</v>
      </c>
      <c r="J52" s="5" t="s">
        <v>1428</v>
      </c>
      <c r="K52" s="5" t="s">
        <v>1429</v>
      </c>
      <c r="L52" s="5" t="s">
        <v>1416</v>
      </c>
    </row>
    <row r="53" customFormat="false" ht="22.35" hidden="false" customHeight="false" outlineLevel="0" collapsed="false">
      <c r="A53" s="5" t="s">
        <v>1572</v>
      </c>
      <c r="B53" s="5" t="s">
        <v>145</v>
      </c>
      <c r="C53" s="5" t="s">
        <v>45</v>
      </c>
      <c r="D53" s="5" t="s">
        <v>151</v>
      </c>
      <c r="E53" s="5" t="s">
        <v>1410</v>
      </c>
      <c r="F53" s="5" t="s">
        <v>107</v>
      </c>
      <c r="G53" s="5" t="s">
        <v>1411</v>
      </c>
      <c r="H53" s="5" t="s">
        <v>1573</v>
      </c>
      <c r="I53" s="5" t="s">
        <v>1574</v>
      </c>
      <c r="J53" s="5" t="s">
        <v>1575</v>
      </c>
      <c r="K53" s="5" t="s">
        <v>1576</v>
      </c>
      <c r="L53" s="5" t="s">
        <v>1416</v>
      </c>
    </row>
    <row r="54" customFormat="false" ht="15" hidden="false" customHeight="false" outlineLevel="0" collapsed="false">
      <c r="A54" s="5" t="s">
        <v>1577</v>
      </c>
      <c r="B54" s="5" t="s">
        <v>145</v>
      </c>
      <c r="C54" s="5" t="s">
        <v>45</v>
      </c>
      <c r="D54" s="5" t="s">
        <v>151</v>
      </c>
      <c r="E54" s="5" t="s">
        <v>1553</v>
      </c>
      <c r="F54" s="5" t="s">
        <v>107</v>
      </c>
      <c r="G54" s="5" t="s">
        <v>1411</v>
      </c>
      <c r="H54" s="5" t="s">
        <v>1578</v>
      </c>
      <c r="I54" s="5" t="s">
        <v>1579</v>
      </c>
      <c r="J54" s="5" t="s">
        <v>1580</v>
      </c>
      <c r="K54" s="5" t="s">
        <v>1581</v>
      </c>
      <c r="L54" s="5" t="s">
        <v>1416</v>
      </c>
    </row>
    <row r="55" customFormat="false" ht="22.35" hidden="false" customHeight="false" outlineLevel="0" collapsed="false">
      <c r="A55" s="5" t="s">
        <v>1582</v>
      </c>
      <c r="B55" s="5" t="s">
        <v>145</v>
      </c>
      <c r="C55" s="5" t="s">
        <v>45</v>
      </c>
      <c r="D55" s="5" t="s">
        <v>151</v>
      </c>
      <c r="E55" s="5" t="s">
        <v>1480</v>
      </c>
      <c r="F55" s="5" t="s">
        <v>107</v>
      </c>
      <c r="G55" s="5" t="s">
        <v>1411</v>
      </c>
      <c r="H55" s="5" t="s">
        <v>1583</v>
      </c>
      <c r="I55" s="5" t="s">
        <v>1584</v>
      </c>
      <c r="J55" s="5" t="s">
        <v>1585</v>
      </c>
      <c r="K55" s="5" t="s">
        <v>1586</v>
      </c>
      <c r="L55" s="5" t="s">
        <v>1416</v>
      </c>
    </row>
    <row r="56" customFormat="false" ht="22.35" hidden="false" customHeight="false" outlineLevel="0" collapsed="false">
      <c r="A56" s="5" t="s">
        <v>1587</v>
      </c>
      <c r="B56" s="5" t="s">
        <v>159</v>
      </c>
      <c r="C56" s="5" t="s">
        <v>45</v>
      </c>
      <c r="D56" s="5" t="s">
        <v>164</v>
      </c>
      <c r="E56" s="5" t="s">
        <v>1410</v>
      </c>
      <c r="F56" s="5" t="s">
        <v>162</v>
      </c>
      <c r="G56" s="5" t="s">
        <v>1411</v>
      </c>
      <c r="H56" s="5" t="s">
        <v>1588</v>
      </c>
      <c r="I56" s="5" t="s">
        <v>1413</v>
      </c>
      <c r="J56" s="5" t="s">
        <v>1589</v>
      </c>
      <c r="K56" s="5" t="s">
        <v>1415</v>
      </c>
      <c r="L56" s="5" t="s">
        <v>1416</v>
      </c>
    </row>
    <row r="57" customFormat="false" ht="22.35" hidden="false" customHeight="false" outlineLevel="0" collapsed="false">
      <c r="A57" s="5" t="s">
        <v>1590</v>
      </c>
      <c r="B57" s="5" t="s">
        <v>159</v>
      </c>
      <c r="C57" s="5" t="s">
        <v>45</v>
      </c>
      <c r="D57" s="5" t="s">
        <v>164</v>
      </c>
      <c r="E57" s="5" t="s">
        <v>1439</v>
      </c>
      <c r="F57" s="5" t="s">
        <v>162</v>
      </c>
      <c r="G57" s="5" t="s">
        <v>1411</v>
      </c>
      <c r="H57" s="5" t="s">
        <v>1440</v>
      </c>
      <c r="I57" s="5" t="s">
        <v>1441</v>
      </c>
      <c r="J57" s="5" t="s">
        <v>1591</v>
      </c>
      <c r="K57" s="5" t="s">
        <v>1443</v>
      </c>
      <c r="L57" s="5" t="s">
        <v>1416</v>
      </c>
    </row>
    <row r="58" customFormat="false" ht="22.35" hidden="false" customHeight="false" outlineLevel="0" collapsed="false">
      <c r="A58" s="5" t="s">
        <v>1592</v>
      </c>
      <c r="B58" s="5" t="s">
        <v>159</v>
      </c>
      <c r="C58" s="5" t="s">
        <v>45</v>
      </c>
      <c r="D58" s="5" t="s">
        <v>164</v>
      </c>
      <c r="E58" s="5" t="s">
        <v>1439</v>
      </c>
      <c r="F58" s="5" t="s">
        <v>162</v>
      </c>
      <c r="G58" s="5" t="s">
        <v>1411</v>
      </c>
      <c r="H58" s="5" t="s">
        <v>1469</v>
      </c>
      <c r="I58" s="5" t="s">
        <v>1470</v>
      </c>
      <c r="J58" s="5" t="s">
        <v>1591</v>
      </c>
      <c r="K58" s="5" t="s">
        <v>1471</v>
      </c>
      <c r="L58" s="5" t="s">
        <v>1416</v>
      </c>
    </row>
    <row r="59" customFormat="false" ht="22.35" hidden="false" customHeight="false" outlineLevel="0" collapsed="false">
      <c r="A59" s="5" t="s">
        <v>1593</v>
      </c>
      <c r="B59" s="5" t="s">
        <v>159</v>
      </c>
      <c r="C59" s="5" t="s">
        <v>45</v>
      </c>
      <c r="D59" s="5" t="s">
        <v>164</v>
      </c>
      <c r="E59" s="5" t="s">
        <v>1418</v>
      </c>
      <c r="F59" s="5" t="s">
        <v>162</v>
      </c>
      <c r="G59" s="5" t="s">
        <v>1411</v>
      </c>
      <c r="H59" s="5" t="s">
        <v>1419</v>
      </c>
      <c r="I59" s="5" t="s">
        <v>1477</v>
      </c>
      <c r="J59" s="5" t="s">
        <v>1594</v>
      </c>
      <c r="K59" s="5" t="s">
        <v>1422</v>
      </c>
      <c r="L59" s="5" t="s">
        <v>1416</v>
      </c>
    </row>
    <row r="60" customFormat="false" ht="22.35" hidden="false" customHeight="false" outlineLevel="0" collapsed="false">
      <c r="A60" s="5" t="s">
        <v>1595</v>
      </c>
      <c r="B60" s="5" t="s">
        <v>159</v>
      </c>
      <c r="C60" s="5" t="s">
        <v>45</v>
      </c>
      <c r="D60" s="5" t="s">
        <v>164</v>
      </c>
      <c r="E60" s="5" t="s">
        <v>1424</v>
      </c>
      <c r="F60" s="5" t="s">
        <v>162</v>
      </c>
      <c r="G60" s="5" t="s">
        <v>1425</v>
      </c>
      <c r="H60" s="5" t="s">
        <v>1596</v>
      </c>
      <c r="I60" s="5" t="s">
        <v>1427</v>
      </c>
      <c r="J60" s="5" t="s">
        <v>1428</v>
      </c>
      <c r="K60" s="5" t="s">
        <v>1429</v>
      </c>
      <c r="L60" s="5" t="s">
        <v>1416</v>
      </c>
    </row>
    <row r="61" customFormat="false" ht="22.35" hidden="false" customHeight="false" outlineLevel="0" collapsed="false">
      <c r="A61" s="5" t="s">
        <v>1597</v>
      </c>
      <c r="B61" s="5" t="s">
        <v>159</v>
      </c>
      <c r="C61" s="5" t="s">
        <v>45</v>
      </c>
      <c r="D61" s="5" t="s">
        <v>164</v>
      </c>
      <c r="E61" s="5" t="s">
        <v>1338</v>
      </c>
      <c r="F61" s="5" t="s">
        <v>162</v>
      </c>
      <c r="G61" s="5" t="s">
        <v>1338</v>
      </c>
      <c r="H61" s="5" t="s">
        <v>1598</v>
      </c>
      <c r="I61" s="5" t="s">
        <v>1432</v>
      </c>
      <c r="J61" s="5" t="s">
        <v>1433</v>
      </c>
      <c r="K61" s="5" t="s">
        <v>1434</v>
      </c>
      <c r="L61" s="5" t="s">
        <v>1416</v>
      </c>
    </row>
    <row r="62" customFormat="false" ht="22.35" hidden="false" customHeight="false" outlineLevel="0" collapsed="false">
      <c r="A62" s="5" t="s">
        <v>1599</v>
      </c>
      <c r="B62" s="5" t="s">
        <v>170</v>
      </c>
      <c r="C62" s="5" t="s">
        <v>45</v>
      </c>
      <c r="D62" s="5" t="s">
        <v>175</v>
      </c>
      <c r="E62" s="5" t="s">
        <v>1410</v>
      </c>
      <c r="F62" s="5" t="s">
        <v>107</v>
      </c>
      <c r="G62" s="5" t="s">
        <v>1411</v>
      </c>
      <c r="H62" s="5" t="s">
        <v>1600</v>
      </c>
      <c r="I62" s="5" t="s">
        <v>1601</v>
      </c>
      <c r="J62" s="5" t="s">
        <v>1602</v>
      </c>
      <c r="K62" s="5" t="s">
        <v>1603</v>
      </c>
      <c r="L62" s="5" t="s">
        <v>1416</v>
      </c>
    </row>
    <row r="63" customFormat="false" ht="22.35" hidden="false" customHeight="false" outlineLevel="0" collapsed="false">
      <c r="A63" s="5" t="s">
        <v>1604</v>
      </c>
      <c r="B63" s="5" t="s">
        <v>170</v>
      </c>
      <c r="C63" s="5" t="s">
        <v>45</v>
      </c>
      <c r="D63" s="5" t="s">
        <v>175</v>
      </c>
      <c r="E63" s="5" t="s">
        <v>1480</v>
      </c>
      <c r="F63" s="5" t="s">
        <v>107</v>
      </c>
      <c r="G63" s="5" t="s">
        <v>1411</v>
      </c>
      <c r="H63" s="5" t="s">
        <v>1605</v>
      </c>
      <c r="I63" s="5" t="s">
        <v>1606</v>
      </c>
      <c r="J63" s="5" t="s">
        <v>1607</v>
      </c>
      <c r="K63" s="5" t="s">
        <v>1608</v>
      </c>
      <c r="L63" s="5" t="s">
        <v>1416</v>
      </c>
    </row>
    <row r="64" customFormat="false" ht="22.35" hidden="false" customHeight="false" outlineLevel="0" collapsed="false">
      <c r="A64" s="5" t="s">
        <v>1609</v>
      </c>
      <c r="B64" s="5" t="s">
        <v>170</v>
      </c>
      <c r="C64" s="5" t="s">
        <v>45</v>
      </c>
      <c r="D64" s="5" t="s">
        <v>175</v>
      </c>
      <c r="E64" s="5" t="s">
        <v>1439</v>
      </c>
      <c r="F64" s="5" t="s">
        <v>107</v>
      </c>
      <c r="G64" s="5" t="s">
        <v>1411</v>
      </c>
      <c r="H64" s="5" t="s">
        <v>1610</v>
      </c>
      <c r="I64" s="5" t="s">
        <v>1611</v>
      </c>
      <c r="J64" s="5" t="s">
        <v>1612</v>
      </c>
      <c r="K64" s="5" t="s">
        <v>1613</v>
      </c>
      <c r="L64" s="5" t="s">
        <v>1416</v>
      </c>
    </row>
    <row r="65" customFormat="false" ht="22.35" hidden="false" customHeight="false" outlineLevel="0" collapsed="false">
      <c r="A65" s="5" t="s">
        <v>1614</v>
      </c>
      <c r="B65" s="5" t="s">
        <v>170</v>
      </c>
      <c r="C65" s="5" t="s">
        <v>45</v>
      </c>
      <c r="D65" s="5" t="s">
        <v>175</v>
      </c>
      <c r="E65" s="5" t="s">
        <v>1338</v>
      </c>
      <c r="F65" s="5" t="s">
        <v>107</v>
      </c>
      <c r="G65" s="5" t="s">
        <v>1338</v>
      </c>
      <c r="H65" s="5" t="s">
        <v>1615</v>
      </c>
      <c r="I65" s="5" t="s">
        <v>1432</v>
      </c>
      <c r="J65" s="5" t="s">
        <v>1433</v>
      </c>
      <c r="K65" s="5" t="s">
        <v>1434</v>
      </c>
      <c r="L65" s="5" t="s">
        <v>1416</v>
      </c>
    </row>
    <row r="66" customFormat="false" ht="22.35" hidden="false" customHeight="false" outlineLevel="0" collapsed="false">
      <c r="A66" s="5" t="s">
        <v>1616</v>
      </c>
      <c r="B66" s="5" t="s">
        <v>182</v>
      </c>
      <c r="C66" s="5" t="s">
        <v>183</v>
      </c>
      <c r="D66" s="5" t="s">
        <v>188</v>
      </c>
      <c r="E66" s="5" t="s">
        <v>1410</v>
      </c>
      <c r="F66" s="5" t="s">
        <v>49</v>
      </c>
      <c r="G66" s="5" t="s">
        <v>1411</v>
      </c>
      <c r="H66" s="5" t="s">
        <v>1617</v>
      </c>
      <c r="I66" s="5" t="s">
        <v>1413</v>
      </c>
      <c r="J66" s="5" t="s">
        <v>1618</v>
      </c>
      <c r="K66" s="5" t="s">
        <v>1415</v>
      </c>
      <c r="L66" s="5" t="s">
        <v>1416</v>
      </c>
    </row>
    <row r="67" customFormat="false" ht="22.35" hidden="false" customHeight="false" outlineLevel="0" collapsed="false">
      <c r="A67" s="5" t="s">
        <v>1619</v>
      </c>
      <c r="B67" s="5" t="s">
        <v>182</v>
      </c>
      <c r="C67" s="5" t="s">
        <v>183</v>
      </c>
      <c r="D67" s="5" t="s">
        <v>188</v>
      </c>
      <c r="E67" s="5" t="s">
        <v>1439</v>
      </c>
      <c r="F67" s="5" t="s">
        <v>49</v>
      </c>
      <c r="G67" s="5" t="s">
        <v>1411</v>
      </c>
      <c r="H67" s="5" t="s">
        <v>1536</v>
      </c>
      <c r="I67" s="5" t="s">
        <v>1537</v>
      </c>
      <c r="J67" s="5" t="s">
        <v>1620</v>
      </c>
      <c r="K67" s="5" t="s">
        <v>1539</v>
      </c>
      <c r="L67" s="5" t="s">
        <v>1416</v>
      </c>
    </row>
    <row r="68" customFormat="false" ht="22.35" hidden="false" customHeight="false" outlineLevel="0" collapsed="false">
      <c r="A68" s="5" t="s">
        <v>1621</v>
      </c>
      <c r="B68" s="5" t="s">
        <v>182</v>
      </c>
      <c r="C68" s="5" t="s">
        <v>183</v>
      </c>
      <c r="D68" s="5" t="s">
        <v>188</v>
      </c>
      <c r="E68" s="5" t="s">
        <v>1439</v>
      </c>
      <c r="F68" s="5" t="s">
        <v>49</v>
      </c>
      <c r="G68" s="5" t="s">
        <v>1411</v>
      </c>
      <c r="H68" s="5" t="s">
        <v>1622</v>
      </c>
      <c r="I68" s="5" t="s">
        <v>1623</v>
      </c>
      <c r="J68" s="5" t="s">
        <v>1620</v>
      </c>
      <c r="K68" s="5" t="s">
        <v>1624</v>
      </c>
      <c r="L68" s="5" t="s">
        <v>1416</v>
      </c>
    </row>
    <row r="69" customFormat="false" ht="22.35" hidden="false" customHeight="false" outlineLevel="0" collapsed="false">
      <c r="A69" s="5" t="s">
        <v>1625</v>
      </c>
      <c r="B69" s="5" t="s">
        <v>182</v>
      </c>
      <c r="C69" s="5" t="s">
        <v>183</v>
      </c>
      <c r="D69" s="5" t="s">
        <v>188</v>
      </c>
      <c r="E69" s="5" t="s">
        <v>1418</v>
      </c>
      <c r="F69" s="5" t="s">
        <v>49</v>
      </c>
      <c r="G69" s="5" t="s">
        <v>1411</v>
      </c>
      <c r="H69" s="5" t="s">
        <v>1419</v>
      </c>
      <c r="I69" s="5" t="s">
        <v>1626</v>
      </c>
      <c r="J69" s="5" t="s">
        <v>1627</v>
      </c>
      <c r="K69" s="5" t="s">
        <v>1422</v>
      </c>
      <c r="L69" s="5" t="s">
        <v>1416</v>
      </c>
    </row>
    <row r="70" customFormat="false" ht="22.35" hidden="false" customHeight="false" outlineLevel="0" collapsed="false">
      <c r="A70" s="5" t="s">
        <v>1628</v>
      </c>
      <c r="B70" s="5" t="s">
        <v>182</v>
      </c>
      <c r="C70" s="5" t="s">
        <v>183</v>
      </c>
      <c r="D70" s="5" t="s">
        <v>188</v>
      </c>
      <c r="E70" s="5" t="s">
        <v>1424</v>
      </c>
      <c r="F70" s="5" t="s">
        <v>49</v>
      </c>
      <c r="G70" s="5" t="s">
        <v>1425</v>
      </c>
      <c r="H70" s="5" t="s">
        <v>1629</v>
      </c>
      <c r="I70" s="5" t="s">
        <v>1427</v>
      </c>
      <c r="J70" s="5" t="s">
        <v>1428</v>
      </c>
      <c r="K70" s="5" t="s">
        <v>1429</v>
      </c>
      <c r="L70" s="5" t="s">
        <v>1416</v>
      </c>
    </row>
    <row r="71" customFormat="false" ht="22.35" hidden="false" customHeight="false" outlineLevel="0" collapsed="false">
      <c r="A71" s="5" t="s">
        <v>1630</v>
      </c>
      <c r="B71" s="5" t="s">
        <v>182</v>
      </c>
      <c r="C71" s="5" t="s">
        <v>183</v>
      </c>
      <c r="D71" s="5" t="s">
        <v>188</v>
      </c>
      <c r="E71" s="5" t="s">
        <v>1338</v>
      </c>
      <c r="F71" s="5" t="s">
        <v>49</v>
      </c>
      <c r="G71" s="5" t="s">
        <v>1338</v>
      </c>
      <c r="H71" s="5" t="s">
        <v>1631</v>
      </c>
      <c r="I71" s="5" t="s">
        <v>1432</v>
      </c>
      <c r="J71" s="5" t="s">
        <v>1433</v>
      </c>
      <c r="K71" s="5" t="s">
        <v>1434</v>
      </c>
      <c r="L71" s="5" t="s">
        <v>1416</v>
      </c>
    </row>
    <row r="72" customFormat="false" ht="43.25" hidden="false" customHeight="false" outlineLevel="0" collapsed="false">
      <c r="A72" s="5" t="s">
        <v>1632</v>
      </c>
      <c r="B72" s="5" t="s">
        <v>197</v>
      </c>
      <c r="C72" s="5" t="s">
        <v>183</v>
      </c>
      <c r="D72" s="5" t="s">
        <v>203</v>
      </c>
      <c r="E72" s="5" t="s">
        <v>1410</v>
      </c>
      <c r="F72" s="5" t="s">
        <v>49</v>
      </c>
      <c r="G72" s="5" t="s">
        <v>1411</v>
      </c>
      <c r="H72" s="5" t="s">
        <v>1633</v>
      </c>
      <c r="I72" s="5" t="s">
        <v>1413</v>
      </c>
      <c r="J72" s="5" t="s">
        <v>1634</v>
      </c>
      <c r="K72" s="5" t="s">
        <v>1415</v>
      </c>
      <c r="L72" s="5" t="s">
        <v>1416</v>
      </c>
    </row>
    <row r="73" customFormat="false" ht="43.25" hidden="false" customHeight="false" outlineLevel="0" collapsed="false">
      <c r="A73" s="5" t="s">
        <v>1635</v>
      </c>
      <c r="B73" s="5" t="s">
        <v>197</v>
      </c>
      <c r="C73" s="5" t="s">
        <v>183</v>
      </c>
      <c r="D73" s="5" t="s">
        <v>203</v>
      </c>
      <c r="E73" s="5" t="s">
        <v>1439</v>
      </c>
      <c r="F73" s="5" t="s">
        <v>49</v>
      </c>
      <c r="G73" s="5" t="s">
        <v>1411</v>
      </c>
      <c r="H73" s="5" t="s">
        <v>1440</v>
      </c>
      <c r="I73" s="5" t="s">
        <v>1441</v>
      </c>
      <c r="J73" s="5" t="s">
        <v>1636</v>
      </c>
      <c r="K73" s="5" t="s">
        <v>1443</v>
      </c>
      <c r="L73" s="5" t="s">
        <v>1416</v>
      </c>
    </row>
    <row r="74" customFormat="false" ht="43.25" hidden="false" customHeight="false" outlineLevel="0" collapsed="false">
      <c r="A74" s="5" t="s">
        <v>1637</v>
      </c>
      <c r="B74" s="5" t="s">
        <v>197</v>
      </c>
      <c r="C74" s="5" t="s">
        <v>183</v>
      </c>
      <c r="D74" s="5" t="s">
        <v>203</v>
      </c>
      <c r="E74" s="5" t="s">
        <v>1439</v>
      </c>
      <c r="F74" s="5" t="s">
        <v>49</v>
      </c>
      <c r="G74" s="5" t="s">
        <v>1411</v>
      </c>
      <c r="H74" s="5" t="s">
        <v>1638</v>
      </c>
      <c r="I74" s="5" t="s">
        <v>1639</v>
      </c>
      <c r="J74" s="5" t="s">
        <v>1636</v>
      </c>
      <c r="K74" s="5" t="s">
        <v>1640</v>
      </c>
      <c r="L74" s="5" t="s">
        <v>1416</v>
      </c>
    </row>
    <row r="75" customFormat="false" ht="43.25" hidden="false" customHeight="false" outlineLevel="0" collapsed="false">
      <c r="A75" s="5" t="s">
        <v>1641</v>
      </c>
      <c r="B75" s="5" t="s">
        <v>197</v>
      </c>
      <c r="C75" s="5" t="s">
        <v>183</v>
      </c>
      <c r="D75" s="5" t="s">
        <v>203</v>
      </c>
      <c r="E75" s="5" t="s">
        <v>1439</v>
      </c>
      <c r="F75" s="5" t="s">
        <v>49</v>
      </c>
      <c r="G75" s="5" t="s">
        <v>1411</v>
      </c>
      <c r="H75" s="5" t="s">
        <v>1622</v>
      </c>
      <c r="I75" s="5" t="s">
        <v>1623</v>
      </c>
      <c r="J75" s="5" t="s">
        <v>1636</v>
      </c>
      <c r="K75" s="5" t="s">
        <v>1624</v>
      </c>
      <c r="L75" s="5" t="s">
        <v>1416</v>
      </c>
    </row>
    <row r="76" customFormat="false" ht="43.25" hidden="false" customHeight="false" outlineLevel="0" collapsed="false">
      <c r="A76" s="5" t="s">
        <v>1642</v>
      </c>
      <c r="B76" s="5" t="s">
        <v>197</v>
      </c>
      <c r="C76" s="5" t="s">
        <v>183</v>
      </c>
      <c r="D76" s="5" t="s">
        <v>203</v>
      </c>
      <c r="E76" s="5" t="s">
        <v>1439</v>
      </c>
      <c r="F76" s="5" t="s">
        <v>49</v>
      </c>
      <c r="G76" s="5" t="s">
        <v>1411</v>
      </c>
      <c r="H76" s="5" t="s">
        <v>1643</v>
      </c>
      <c r="I76" s="5" t="s">
        <v>1644</v>
      </c>
      <c r="J76" s="5" t="s">
        <v>1636</v>
      </c>
      <c r="K76" s="5" t="s">
        <v>1645</v>
      </c>
      <c r="L76" s="5" t="s">
        <v>1416</v>
      </c>
    </row>
    <row r="77" customFormat="false" ht="43.25" hidden="false" customHeight="false" outlineLevel="0" collapsed="false">
      <c r="A77" s="5" t="s">
        <v>1646</v>
      </c>
      <c r="B77" s="5" t="s">
        <v>197</v>
      </c>
      <c r="C77" s="5" t="s">
        <v>183</v>
      </c>
      <c r="D77" s="5" t="s">
        <v>203</v>
      </c>
      <c r="E77" s="5" t="s">
        <v>1439</v>
      </c>
      <c r="F77" s="5" t="s">
        <v>49</v>
      </c>
      <c r="G77" s="5" t="s">
        <v>1411</v>
      </c>
      <c r="H77" s="5" t="s">
        <v>1453</v>
      </c>
      <c r="I77" s="5" t="s">
        <v>1454</v>
      </c>
      <c r="J77" s="5" t="s">
        <v>1636</v>
      </c>
      <c r="K77" s="5" t="s">
        <v>1455</v>
      </c>
      <c r="L77" s="5" t="s">
        <v>1416</v>
      </c>
    </row>
    <row r="78" customFormat="false" ht="43.25" hidden="false" customHeight="false" outlineLevel="0" collapsed="false">
      <c r="A78" s="5" t="s">
        <v>1647</v>
      </c>
      <c r="B78" s="5" t="s">
        <v>197</v>
      </c>
      <c r="C78" s="5" t="s">
        <v>183</v>
      </c>
      <c r="D78" s="5" t="s">
        <v>203</v>
      </c>
      <c r="E78" s="5" t="s">
        <v>1439</v>
      </c>
      <c r="F78" s="5" t="s">
        <v>49</v>
      </c>
      <c r="G78" s="5" t="s">
        <v>1411</v>
      </c>
      <c r="H78" s="5" t="s">
        <v>1648</v>
      </c>
      <c r="I78" s="5" t="s">
        <v>1649</v>
      </c>
      <c r="J78" s="5" t="s">
        <v>1636</v>
      </c>
      <c r="K78" s="5" t="s">
        <v>1650</v>
      </c>
      <c r="L78" s="5" t="s">
        <v>1416</v>
      </c>
    </row>
    <row r="79" customFormat="false" ht="43.25" hidden="false" customHeight="false" outlineLevel="0" collapsed="false">
      <c r="A79" s="5" t="s">
        <v>1651</v>
      </c>
      <c r="B79" s="5" t="s">
        <v>197</v>
      </c>
      <c r="C79" s="5" t="s">
        <v>183</v>
      </c>
      <c r="D79" s="5" t="s">
        <v>203</v>
      </c>
      <c r="E79" s="5" t="s">
        <v>1439</v>
      </c>
      <c r="F79" s="5" t="s">
        <v>49</v>
      </c>
      <c r="G79" s="5" t="s">
        <v>1411</v>
      </c>
      <c r="H79" s="5" t="s">
        <v>1652</v>
      </c>
      <c r="I79" s="5" t="s">
        <v>1653</v>
      </c>
      <c r="J79" s="5" t="s">
        <v>1636</v>
      </c>
      <c r="K79" s="5" t="s">
        <v>1654</v>
      </c>
      <c r="L79" s="5" t="s">
        <v>1416</v>
      </c>
    </row>
    <row r="80" customFormat="false" ht="43.25" hidden="false" customHeight="false" outlineLevel="0" collapsed="false">
      <c r="A80" s="5" t="s">
        <v>1655</v>
      </c>
      <c r="B80" s="5" t="s">
        <v>197</v>
      </c>
      <c r="C80" s="5" t="s">
        <v>183</v>
      </c>
      <c r="D80" s="5" t="s">
        <v>203</v>
      </c>
      <c r="E80" s="5" t="s">
        <v>1439</v>
      </c>
      <c r="F80" s="5" t="s">
        <v>49</v>
      </c>
      <c r="G80" s="5" t="s">
        <v>1411</v>
      </c>
      <c r="H80" s="5" t="s">
        <v>1656</v>
      </c>
      <c r="I80" s="5" t="s">
        <v>1657</v>
      </c>
      <c r="J80" s="5" t="s">
        <v>1636</v>
      </c>
      <c r="K80" s="5" t="s">
        <v>1658</v>
      </c>
      <c r="L80" s="5" t="s">
        <v>1416</v>
      </c>
    </row>
    <row r="81" customFormat="false" ht="43.25" hidden="false" customHeight="false" outlineLevel="0" collapsed="false">
      <c r="A81" s="5" t="s">
        <v>1659</v>
      </c>
      <c r="B81" s="5" t="s">
        <v>197</v>
      </c>
      <c r="C81" s="5" t="s">
        <v>183</v>
      </c>
      <c r="D81" s="5" t="s">
        <v>203</v>
      </c>
      <c r="E81" s="5" t="s">
        <v>1439</v>
      </c>
      <c r="F81" s="5" t="s">
        <v>49</v>
      </c>
      <c r="G81" s="5" t="s">
        <v>1411</v>
      </c>
      <c r="H81" s="5" t="s">
        <v>1660</v>
      </c>
      <c r="I81" s="5" t="s">
        <v>1661</v>
      </c>
      <c r="J81" s="5" t="s">
        <v>1636</v>
      </c>
      <c r="K81" s="5" t="s">
        <v>1662</v>
      </c>
      <c r="L81" s="5" t="s">
        <v>1416</v>
      </c>
    </row>
    <row r="82" customFormat="false" ht="43.25" hidden="false" customHeight="false" outlineLevel="0" collapsed="false">
      <c r="A82" s="5" t="s">
        <v>1663</v>
      </c>
      <c r="B82" s="5" t="s">
        <v>197</v>
      </c>
      <c r="C82" s="5" t="s">
        <v>183</v>
      </c>
      <c r="D82" s="5" t="s">
        <v>203</v>
      </c>
      <c r="E82" s="5" t="s">
        <v>1439</v>
      </c>
      <c r="F82" s="5" t="s">
        <v>49</v>
      </c>
      <c r="G82" s="5" t="s">
        <v>1411</v>
      </c>
      <c r="H82" s="5" t="s">
        <v>1664</v>
      </c>
      <c r="I82" s="5" t="s">
        <v>1665</v>
      </c>
      <c r="J82" s="5" t="s">
        <v>1636</v>
      </c>
      <c r="K82" s="5" t="s">
        <v>1666</v>
      </c>
      <c r="L82" s="5" t="s">
        <v>1416</v>
      </c>
    </row>
    <row r="83" customFormat="false" ht="43.25" hidden="false" customHeight="false" outlineLevel="0" collapsed="false">
      <c r="A83" s="5" t="s">
        <v>1667</v>
      </c>
      <c r="B83" s="5" t="s">
        <v>197</v>
      </c>
      <c r="C83" s="5" t="s">
        <v>183</v>
      </c>
      <c r="D83" s="5" t="s">
        <v>203</v>
      </c>
      <c r="E83" s="5" t="s">
        <v>1418</v>
      </c>
      <c r="F83" s="5" t="s">
        <v>49</v>
      </c>
      <c r="G83" s="5" t="s">
        <v>1411</v>
      </c>
      <c r="H83" s="5" t="s">
        <v>1419</v>
      </c>
      <c r="I83" s="5" t="s">
        <v>1668</v>
      </c>
      <c r="J83" s="5" t="s">
        <v>1669</v>
      </c>
      <c r="K83" s="5" t="s">
        <v>1422</v>
      </c>
      <c r="L83" s="5" t="s">
        <v>1416</v>
      </c>
    </row>
    <row r="84" customFormat="false" ht="43.25" hidden="false" customHeight="false" outlineLevel="0" collapsed="false">
      <c r="A84" s="5" t="s">
        <v>1670</v>
      </c>
      <c r="B84" s="5" t="s">
        <v>197</v>
      </c>
      <c r="C84" s="5" t="s">
        <v>183</v>
      </c>
      <c r="D84" s="5" t="s">
        <v>203</v>
      </c>
      <c r="E84" s="5" t="s">
        <v>1480</v>
      </c>
      <c r="F84" s="5" t="s">
        <v>49</v>
      </c>
      <c r="G84" s="5" t="s">
        <v>1411</v>
      </c>
      <c r="H84" s="5" t="s">
        <v>1481</v>
      </c>
      <c r="I84" s="5" t="s">
        <v>210</v>
      </c>
      <c r="J84" s="5" t="s">
        <v>1671</v>
      </c>
      <c r="K84" s="5" t="s">
        <v>1483</v>
      </c>
      <c r="L84" s="5" t="s">
        <v>1416</v>
      </c>
    </row>
    <row r="85" customFormat="false" ht="43.25" hidden="false" customHeight="false" outlineLevel="0" collapsed="false">
      <c r="A85" s="5" t="s">
        <v>1672</v>
      </c>
      <c r="B85" s="5" t="s">
        <v>197</v>
      </c>
      <c r="C85" s="5" t="s">
        <v>183</v>
      </c>
      <c r="D85" s="5" t="s">
        <v>203</v>
      </c>
      <c r="E85" s="5" t="s">
        <v>1424</v>
      </c>
      <c r="F85" s="5" t="s">
        <v>49</v>
      </c>
      <c r="G85" s="5" t="s">
        <v>1425</v>
      </c>
      <c r="H85" s="5" t="s">
        <v>1673</v>
      </c>
      <c r="I85" s="5" t="s">
        <v>1427</v>
      </c>
      <c r="J85" s="5" t="s">
        <v>1428</v>
      </c>
      <c r="K85" s="5" t="s">
        <v>1429</v>
      </c>
      <c r="L85" s="5" t="s">
        <v>1416</v>
      </c>
    </row>
    <row r="86" customFormat="false" ht="43.25" hidden="false" customHeight="false" outlineLevel="0" collapsed="false">
      <c r="A86" s="5" t="s">
        <v>1674</v>
      </c>
      <c r="B86" s="5" t="s">
        <v>197</v>
      </c>
      <c r="C86" s="5" t="s">
        <v>183</v>
      </c>
      <c r="D86" s="5" t="s">
        <v>203</v>
      </c>
      <c r="E86" s="5" t="s">
        <v>1338</v>
      </c>
      <c r="F86" s="5" t="s">
        <v>49</v>
      </c>
      <c r="G86" s="5" t="s">
        <v>1338</v>
      </c>
      <c r="H86" s="5" t="s">
        <v>1675</v>
      </c>
      <c r="I86" s="5" t="s">
        <v>1432</v>
      </c>
      <c r="J86" s="5" t="s">
        <v>1433</v>
      </c>
      <c r="K86" s="5" t="s">
        <v>1434</v>
      </c>
      <c r="L86" s="5" t="s">
        <v>1416</v>
      </c>
    </row>
    <row r="87" customFormat="false" ht="32.8" hidden="false" customHeight="false" outlineLevel="0" collapsed="false">
      <c r="A87" s="5" t="s">
        <v>1676</v>
      </c>
      <c r="B87" s="5" t="s">
        <v>215</v>
      </c>
      <c r="C87" s="5" t="s">
        <v>183</v>
      </c>
      <c r="D87" s="5" t="s">
        <v>220</v>
      </c>
      <c r="E87" s="5" t="s">
        <v>1410</v>
      </c>
      <c r="F87" s="5" t="s">
        <v>49</v>
      </c>
      <c r="G87" s="5" t="s">
        <v>1411</v>
      </c>
      <c r="H87" s="5" t="s">
        <v>1677</v>
      </c>
      <c r="I87" s="5" t="s">
        <v>1413</v>
      </c>
      <c r="J87" s="5" t="s">
        <v>1678</v>
      </c>
      <c r="K87" s="5" t="s">
        <v>1415</v>
      </c>
      <c r="L87" s="5" t="s">
        <v>1416</v>
      </c>
    </row>
    <row r="88" customFormat="false" ht="22.35" hidden="false" customHeight="false" outlineLevel="0" collapsed="false">
      <c r="A88" s="5" t="s">
        <v>1679</v>
      </c>
      <c r="B88" s="5" t="s">
        <v>215</v>
      </c>
      <c r="C88" s="5" t="s">
        <v>183</v>
      </c>
      <c r="D88" s="5" t="s">
        <v>220</v>
      </c>
      <c r="E88" s="5" t="s">
        <v>1439</v>
      </c>
      <c r="F88" s="5" t="s">
        <v>49</v>
      </c>
      <c r="G88" s="5" t="s">
        <v>1411</v>
      </c>
      <c r="H88" s="5" t="s">
        <v>1680</v>
      </c>
      <c r="I88" s="5" t="s">
        <v>1681</v>
      </c>
      <c r="J88" s="5" t="s">
        <v>1682</v>
      </c>
      <c r="K88" s="5" t="s">
        <v>1683</v>
      </c>
      <c r="L88" s="5" t="s">
        <v>1416</v>
      </c>
    </row>
    <row r="89" customFormat="false" ht="22.35" hidden="false" customHeight="false" outlineLevel="0" collapsed="false">
      <c r="A89" s="5" t="s">
        <v>1684</v>
      </c>
      <c r="B89" s="5" t="s">
        <v>215</v>
      </c>
      <c r="C89" s="5" t="s">
        <v>183</v>
      </c>
      <c r="D89" s="5" t="s">
        <v>220</v>
      </c>
      <c r="E89" s="5" t="s">
        <v>1439</v>
      </c>
      <c r="F89" s="5" t="s">
        <v>49</v>
      </c>
      <c r="G89" s="5" t="s">
        <v>1411</v>
      </c>
      <c r="H89" s="5" t="s">
        <v>1685</v>
      </c>
      <c r="I89" s="5" t="s">
        <v>1686</v>
      </c>
      <c r="J89" s="5" t="s">
        <v>1682</v>
      </c>
      <c r="K89" s="5" t="s">
        <v>1687</v>
      </c>
      <c r="L89" s="5" t="s">
        <v>1416</v>
      </c>
    </row>
    <row r="90" customFormat="false" ht="22.35" hidden="false" customHeight="false" outlineLevel="0" collapsed="false">
      <c r="A90" s="5" t="s">
        <v>1688</v>
      </c>
      <c r="B90" s="5" t="s">
        <v>215</v>
      </c>
      <c r="C90" s="5" t="s">
        <v>183</v>
      </c>
      <c r="D90" s="5" t="s">
        <v>220</v>
      </c>
      <c r="E90" s="5" t="s">
        <v>1439</v>
      </c>
      <c r="F90" s="5" t="s">
        <v>49</v>
      </c>
      <c r="G90" s="5" t="s">
        <v>1411</v>
      </c>
      <c r="H90" s="5" t="s">
        <v>1689</v>
      </c>
      <c r="I90" s="5" t="s">
        <v>1690</v>
      </c>
      <c r="J90" s="5" t="s">
        <v>1682</v>
      </c>
      <c r="K90" s="5" t="s">
        <v>1691</v>
      </c>
      <c r="L90" s="5" t="s">
        <v>1416</v>
      </c>
    </row>
    <row r="91" customFormat="false" ht="22.35" hidden="false" customHeight="false" outlineLevel="0" collapsed="false">
      <c r="A91" s="5" t="s">
        <v>1692</v>
      </c>
      <c r="B91" s="5" t="s">
        <v>215</v>
      </c>
      <c r="C91" s="5" t="s">
        <v>183</v>
      </c>
      <c r="D91" s="5" t="s">
        <v>220</v>
      </c>
      <c r="E91" s="5" t="s">
        <v>1439</v>
      </c>
      <c r="F91" s="5" t="s">
        <v>49</v>
      </c>
      <c r="G91" s="5" t="s">
        <v>1411</v>
      </c>
      <c r="H91" s="5" t="s">
        <v>1693</v>
      </c>
      <c r="I91" s="5" t="s">
        <v>1694</v>
      </c>
      <c r="J91" s="5" t="s">
        <v>1682</v>
      </c>
      <c r="K91" s="5" t="s">
        <v>1695</v>
      </c>
      <c r="L91" s="5" t="s">
        <v>1416</v>
      </c>
    </row>
    <row r="92" customFormat="false" ht="22.35" hidden="false" customHeight="false" outlineLevel="0" collapsed="false">
      <c r="A92" s="5" t="s">
        <v>1696</v>
      </c>
      <c r="B92" s="5" t="s">
        <v>215</v>
      </c>
      <c r="C92" s="5" t="s">
        <v>183</v>
      </c>
      <c r="D92" s="5" t="s">
        <v>220</v>
      </c>
      <c r="E92" s="5" t="s">
        <v>1439</v>
      </c>
      <c r="F92" s="5" t="s">
        <v>49</v>
      </c>
      <c r="G92" s="5" t="s">
        <v>1411</v>
      </c>
      <c r="H92" s="5" t="s">
        <v>1697</v>
      </c>
      <c r="I92" s="5" t="s">
        <v>1698</v>
      </c>
      <c r="J92" s="5" t="s">
        <v>1682</v>
      </c>
      <c r="K92" s="5" t="s">
        <v>1699</v>
      </c>
      <c r="L92" s="5" t="s">
        <v>1416</v>
      </c>
    </row>
    <row r="93" customFormat="false" ht="22.35" hidden="false" customHeight="false" outlineLevel="0" collapsed="false">
      <c r="A93" s="5" t="s">
        <v>1700</v>
      </c>
      <c r="B93" s="5" t="s">
        <v>215</v>
      </c>
      <c r="C93" s="5" t="s">
        <v>183</v>
      </c>
      <c r="D93" s="5" t="s">
        <v>220</v>
      </c>
      <c r="E93" s="5" t="s">
        <v>1439</v>
      </c>
      <c r="F93" s="5" t="s">
        <v>49</v>
      </c>
      <c r="G93" s="5" t="s">
        <v>1411</v>
      </c>
      <c r="H93" s="5" t="s">
        <v>1701</v>
      </c>
      <c r="I93" s="5" t="s">
        <v>1702</v>
      </c>
      <c r="J93" s="5" t="s">
        <v>1682</v>
      </c>
      <c r="K93" s="5" t="s">
        <v>1703</v>
      </c>
      <c r="L93" s="5" t="s">
        <v>1416</v>
      </c>
    </row>
    <row r="94" customFormat="false" ht="22.35" hidden="false" customHeight="false" outlineLevel="0" collapsed="false">
      <c r="A94" s="5" t="s">
        <v>1704</v>
      </c>
      <c r="B94" s="5" t="s">
        <v>215</v>
      </c>
      <c r="C94" s="5" t="s">
        <v>183</v>
      </c>
      <c r="D94" s="5" t="s">
        <v>220</v>
      </c>
      <c r="E94" s="5" t="s">
        <v>1439</v>
      </c>
      <c r="F94" s="5" t="s">
        <v>49</v>
      </c>
      <c r="G94" s="5" t="s">
        <v>1411</v>
      </c>
      <c r="H94" s="5" t="s">
        <v>1705</v>
      </c>
      <c r="I94" s="5" t="s">
        <v>1706</v>
      </c>
      <c r="J94" s="5" t="s">
        <v>1682</v>
      </c>
      <c r="K94" s="5" t="s">
        <v>1707</v>
      </c>
      <c r="L94" s="5" t="s">
        <v>1416</v>
      </c>
    </row>
    <row r="95" customFormat="false" ht="32.8" hidden="false" customHeight="false" outlineLevel="0" collapsed="false">
      <c r="A95" s="5" t="s">
        <v>1708</v>
      </c>
      <c r="B95" s="5" t="s">
        <v>215</v>
      </c>
      <c r="C95" s="5" t="s">
        <v>183</v>
      </c>
      <c r="D95" s="5" t="s">
        <v>220</v>
      </c>
      <c r="E95" s="5" t="s">
        <v>1418</v>
      </c>
      <c r="F95" s="5" t="s">
        <v>49</v>
      </c>
      <c r="G95" s="5" t="s">
        <v>1411</v>
      </c>
      <c r="H95" s="5" t="s">
        <v>1419</v>
      </c>
      <c r="I95" s="5" t="s">
        <v>1709</v>
      </c>
      <c r="J95" s="5" t="s">
        <v>1710</v>
      </c>
      <c r="K95" s="5" t="s">
        <v>1422</v>
      </c>
      <c r="L95" s="5" t="s">
        <v>1416</v>
      </c>
    </row>
    <row r="96" customFormat="false" ht="43.25" hidden="false" customHeight="false" outlineLevel="0" collapsed="false">
      <c r="A96" s="5" t="s">
        <v>1711</v>
      </c>
      <c r="B96" s="5" t="s">
        <v>215</v>
      </c>
      <c r="C96" s="5" t="s">
        <v>183</v>
      </c>
      <c r="D96" s="5" t="s">
        <v>220</v>
      </c>
      <c r="E96" s="5" t="s">
        <v>1480</v>
      </c>
      <c r="F96" s="5" t="s">
        <v>49</v>
      </c>
      <c r="G96" s="5" t="s">
        <v>1411</v>
      </c>
      <c r="H96" s="5" t="s">
        <v>1481</v>
      </c>
      <c r="I96" s="5" t="s">
        <v>226</v>
      </c>
      <c r="J96" s="5" t="s">
        <v>1712</v>
      </c>
      <c r="K96" s="5" t="s">
        <v>1483</v>
      </c>
      <c r="L96" s="5" t="s">
        <v>1416</v>
      </c>
    </row>
    <row r="97" customFormat="false" ht="22.35" hidden="false" customHeight="false" outlineLevel="0" collapsed="false">
      <c r="A97" s="5" t="s">
        <v>1713</v>
      </c>
      <c r="B97" s="5" t="s">
        <v>215</v>
      </c>
      <c r="C97" s="5" t="s">
        <v>183</v>
      </c>
      <c r="D97" s="5" t="s">
        <v>220</v>
      </c>
      <c r="E97" s="5" t="s">
        <v>1424</v>
      </c>
      <c r="F97" s="5" t="s">
        <v>49</v>
      </c>
      <c r="G97" s="5" t="s">
        <v>1425</v>
      </c>
      <c r="H97" s="5" t="s">
        <v>1714</v>
      </c>
      <c r="I97" s="5" t="s">
        <v>1427</v>
      </c>
      <c r="J97" s="5" t="s">
        <v>1428</v>
      </c>
      <c r="K97" s="5" t="s">
        <v>1429</v>
      </c>
      <c r="L97" s="5" t="s">
        <v>1416</v>
      </c>
    </row>
    <row r="98" customFormat="false" ht="22.35" hidden="false" customHeight="false" outlineLevel="0" collapsed="false">
      <c r="A98" s="5" t="s">
        <v>1715</v>
      </c>
      <c r="B98" s="5" t="s">
        <v>215</v>
      </c>
      <c r="C98" s="5" t="s">
        <v>183</v>
      </c>
      <c r="D98" s="5" t="s">
        <v>220</v>
      </c>
      <c r="E98" s="5" t="s">
        <v>1338</v>
      </c>
      <c r="F98" s="5" t="s">
        <v>49</v>
      </c>
      <c r="G98" s="5" t="s">
        <v>1338</v>
      </c>
      <c r="H98" s="5" t="s">
        <v>1716</v>
      </c>
      <c r="I98" s="5" t="s">
        <v>1432</v>
      </c>
      <c r="J98" s="5" t="s">
        <v>1433</v>
      </c>
      <c r="K98" s="5" t="s">
        <v>1434</v>
      </c>
      <c r="L98" s="5" t="s">
        <v>1416</v>
      </c>
    </row>
    <row r="99" customFormat="false" ht="22.35" hidden="false" customHeight="false" outlineLevel="0" collapsed="false">
      <c r="A99" s="5" t="s">
        <v>1717</v>
      </c>
      <c r="B99" s="5" t="s">
        <v>231</v>
      </c>
      <c r="C99" s="5" t="s">
        <v>183</v>
      </c>
      <c r="D99" s="5" t="s">
        <v>236</v>
      </c>
      <c r="E99" s="5" t="s">
        <v>1410</v>
      </c>
      <c r="F99" s="5" t="s">
        <v>49</v>
      </c>
      <c r="G99" s="5" t="s">
        <v>1411</v>
      </c>
      <c r="H99" s="5" t="s">
        <v>1718</v>
      </c>
      <c r="I99" s="5" t="s">
        <v>1413</v>
      </c>
      <c r="J99" s="5" t="s">
        <v>1719</v>
      </c>
      <c r="K99" s="5" t="s">
        <v>1415</v>
      </c>
      <c r="L99" s="5" t="s">
        <v>1416</v>
      </c>
    </row>
    <row r="100" customFormat="false" ht="22.35" hidden="false" customHeight="false" outlineLevel="0" collapsed="false">
      <c r="A100" s="5" t="s">
        <v>1720</v>
      </c>
      <c r="B100" s="5" t="s">
        <v>231</v>
      </c>
      <c r="C100" s="5" t="s">
        <v>183</v>
      </c>
      <c r="D100" s="5" t="s">
        <v>236</v>
      </c>
      <c r="E100" s="5" t="s">
        <v>1439</v>
      </c>
      <c r="F100" s="5" t="s">
        <v>49</v>
      </c>
      <c r="G100" s="5" t="s">
        <v>1411</v>
      </c>
      <c r="H100" s="5" t="s">
        <v>1680</v>
      </c>
      <c r="I100" s="5" t="s">
        <v>1681</v>
      </c>
      <c r="J100" s="5" t="s">
        <v>1721</v>
      </c>
      <c r="K100" s="5" t="s">
        <v>1683</v>
      </c>
      <c r="L100" s="5" t="s">
        <v>1416</v>
      </c>
    </row>
    <row r="101" customFormat="false" ht="22.35" hidden="false" customHeight="false" outlineLevel="0" collapsed="false">
      <c r="A101" s="5" t="s">
        <v>1722</v>
      </c>
      <c r="B101" s="5" t="s">
        <v>231</v>
      </c>
      <c r="C101" s="5" t="s">
        <v>183</v>
      </c>
      <c r="D101" s="5" t="s">
        <v>236</v>
      </c>
      <c r="E101" s="5" t="s">
        <v>1418</v>
      </c>
      <c r="F101" s="5" t="s">
        <v>49</v>
      </c>
      <c r="G101" s="5" t="s">
        <v>1411</v>
      </c>
      <c r="H101" s="5" t="s">
        <v>1419</v>
      </c>
      <c r="I101" s="5" t="s">
        <v>1723</v>
      </c>
      <c r="J101" s="5" t="s">
        <v>1724</v>
      </c>
      <c r="K101" s="5" t="s">
        <v>1422</v>
      </c>
      <c r="L101" s="5" t="s">
        <v>1416</v>
      </c>
    </row>
    <row r="102" customFormat="false" ht="22.35" hidden="false" customHeight="false" outlineLevel="0" collapsed="false">
      <c r="A102" s="5" t="s">
        <v>1725</v>
      </c>
      <c r="B102" s="5" t="s">
        <v>231</v>
      </c>
      <c r="C102" s="5" t="s">
        <v>183</v>
      </c>
      <c r="D102" s="5" t="s">
        <v>236</v>
      </c>
      <c r="E102" s="5" t="s">
        <v>1424</v>
      </c>
      <c r="F102" s="5" t="s">
        <v>49</v>
      </c>
      <c r="G102" s="5" t="s">
        <v>1425</v>
      </c>
      <c r="H102" s="5" t="s">
        <v>1726</v>
      </c>
      <c r="I102" s="5" t="s">
        <v>1427</v>
      </c>
      <c r="J102" s="5" t="s">
        <v>1428</v>
      </c>
      <c r="K102" s="5" t="s">
        <v>1429</v>
      </c>
      <c r="L102" s="5" t="s">
        <v>1416</v>
      </c>
    </row>
    <row r="103" customFormat="false" ht="32.8" hidden="false" customHeight="false" outlineLevel="0" collapsed="false">
      <c r="A103" s="5" t="s">
        <v>1727</v>
      </c>
      <c r="B103" s="5" t="s">
        <v>242</v>
      </c>
      <c r="C103" s="5" t="s">
        <v>183</v>
      </c>
      <c r="D103" s="5" t="s">
        <v>247</v>
      </c>
      <c r="E103" s="5" t="s">
        <v>1410</v>
      </c>
      <c r="F103" s="5" t="s">
        <v>49</v>
      </c>
      <c r="G103" s="5" t="s">
        <v>1411</v>
      </c>
      <c r="H103" s="5" t="s">
        <v>1728</v>
      </c>
      <c r="I103" s="5" t="s">
        <v>1413</v>
      </c>
      <c r="J103" s="5" t="s">
        <v>1729</v>
      </c>
      <c r="K103" s="5" t="s">
        <v>1415</v>
      </c>
      <c r="L103" s="5" t="s">
        <v>1416</v>
      </c>
    </row>
    <row r="104" customFormat="false" ht="22.35" hidden="false" customHeight="false" outlineLevel="0" collapsed="false">
      <c r="A104" s="5" t="s">
        <v>1730</v>
      </c>
      <c r="B104" s="5" t="s">
        <v>242</v>
      </c>
      <c r="C104" s="5" t="s">
        <v>183</v>
      </c>
      <c r="D104" s="5" t="s">
        <v>247</v>
      </c>
      <c r="E104" s="5" t="s">
        <v>1439</v>
      </c>
      <c r="F104" s="5" t="s">
        <v>49</v>
      </c>
      <c r="G104" s="5" t="s">
        <v>1411</v>
      </c>
      <c r="H104" s="5" t="s">
        <v>1731</v>
      </c>
      <c r="I104" s="5" t="s">
        <v>1732</v>
      </c>
      <c r="J104" s="5" t="s">
        <v>1733</v>
      </c>
      <c r="K104" s="5" t="s">
        <v>1734</v>
      </c>
      <c r="L104" s="5" t="s">
        <v>1416</v>
      </c>
    </row>
    <row r="105" customFormat="false" ht="22.35" hidden="false" customHeight="false" outlineLevel="0" collapsed="false">
      <c r="A105" s="5" t="s">
        <v>1735</v>
      </c>
      <c r="B105" s="5" t="s">
        <v>242</v>
      </c>
      <c r="C105" s="5" t="s">
        <v>183</v>
      </c>
      <c r="D105" s="5" t="s">
        <v>247</v>
      </c>
      <c r="E105" s="5" t="s">
        <v>1439</v>
      </c>
      <c r="F105" s="5" t="s">
        <v>49</v>
      </c>
      <c r="G105" s="5" t="s">
        <v>1411</v>
      </c>
      <c r="H105" s="5" t="s">
        <v>1736</v>
      </c>
      <c r="I105" s="5" t="s">
        <v>1737</v>
      </c>
      <c r="J105" s="5" t="s">
        <v>1733</v>
      </c>
      <c r="K105" s="5" t="s">
        <v>1738</v>
      </c>
      <c r="L105" s="5" t="s">
        <v>1416</v>
      </c>
    </row>
    <row r="106" customFormat="false" ht="32.8" hidden="false" customHeight="false" outlineLevel="0" collapsed="false">
      <c r="A106" s="5" t="s">
        <v>1739</v>
      </c>
      <c r="B106" s="5" t="s">
        <v>242</v>
      </c>
      <c r="C106" s="5" t="s">
        <v>183</v>
      </c>
      <c r="D106" s="5" t="s">
        <v>247</v>
      </c>
      <c r="E106" s="5" t="s">
        <v>1418</v>
      </c>
      <c r="F106" s="5" t="s">
        <v>49</v>
      </c>
      <c r="G106" s="5" t="s">
        <v>1411</v>
      </c>
      <c r="H106" s="5" t="s">
        <v>1419</v>
      </c>
      <c r="I106" s="5" t="s">
        <v>1740</v>
      </c>
      <c r="J106" s="5" t="s">
        <v>1741</v>
      </c>
      <c r="K106" s="5" t="s">
        <v>1422</v>
      </c>
      <c r="L106" s="5" t="s">
        <v>1416</v>
      </c>
    </row>
    <row r="107" customFormat="false" ht="32.8" hidden="false" customHeight="false" outlineLevel="0" collapsed="false">
      <c r="A107" s="5" t="s">
        <v>1742</v>
      </c>
      <c r="B107" s="5" t="s">
        <v>242</v>
      </c>
      <c r="C107" s="5" t="s">
        <v>183</v>
      </c>
      <c r="D107" s="5" t="s">
        <v>247</v>
      </c>
      <c r="E107" s="5" t="s">
        <v>1480</v>
      </c>
      <c r="F107" s="5" t="s">
        <v>49</v>
      </c>
      <c r="G107" s="5" t="s">
        <v>1411</v>
      </c>
      <c r="H107" s="5" t="s">
        <v>1481</v>
      </c>
      <c r="I107" s="5" t="s">
        <v>252</v>
      </c>
      <c r="J107" s="5" t="s">
        <v>1743</v>
      </c>
      <c r="K107" s="5" t="s">
        <v>1483</v>
      </c>
      <c r="L107" s="5" t="s">
        <v>1416</v>
      </c>
    </row>
    <row r="108" customFormat="false" ht="22.35" hidden="false" customHeight="false" outlineLevel="0" collapsed="false">
      <c r="A108" s="5" t="s">
        <v>1744</v>
      </c>
      <c r="B108" s="5" t="s">
        <v>242</v>
      </c>
      <c r="C108" s="5" t="s">
        <v>183</v>
      </c>
      <c r="D108" s="5" t="s">
        <v>247</v>
      </c>
      <c r="E108" s="5" t="s">
        <v>1424</v>
      </c>
      <c r="F108" s="5" t="s">
        <v>49</v>
      </c>
      <c r="G108" s="5" t="s">
        <v>1425</v>
      </c>
      <c r="H108" s="5" t="s">
        <v>1745</v>
      </c>
      <c r="I108" s="5" t="s">
        <v>1427</v>
      </c>
      <c r="J108" s="5" t="s">
        <v>1428</v>
      </c>
      <c r="K108" s="5" t="s">
        <v>1429</v>
      </c>
      <c r="L108" s="5" t="s">
        <v>1416</v>
      </c>
    </row>
    <row r="109" customFormat="false" ht="22.35" hidden="false" customHeight="false" outlineLevel="0" collapsed="false">
      <c r="A109" s="5" t="s">
        <v>1746</v>
      </c>
      <c r="B109" s="5" t="s">
        <v>242</v>
      </c>
      <c r="C109" s="5" t="s">
        <v>183</v>
      </c>
      <c r="D109" s="5" t="s">
        <v>247</v>
      </c>
      <c r="E109" s="5" t="s">
        <v>1338</v>
      </c>
      <c r="F109" s="5" t="s">
        <v>49</v>
      </c>
      <c r="G109" s="5" t="s">
        <v>1338</v>
      </c>
      <c r="H109" s="5" t="s">
        <v>1747</v>
      </c>
      <c r="I109" s="5" t="s">
        <v>1432</v>
      </c>
      <c r="J109" s="5" t="s">
        <v>1433</v>
      </c>
      <c r="K109" s="5" t="s">
        <v>1434</v>
      </c>
      <c r="L109" s="5" t="s">
        <v>1416</v>
      </c>
    </row>
    <row r="110" customFormat="false" ht="22.35" hidden="false" customHeight="false" outlineLevel="0" collapsed="false">
      <c r="A110" s="5" t="s">
        <v>1748</v>
      </c>
      <c r="B110" s="5" t="s">
        <v>256</v>
      </c>
      <c r="C110" s="5" t="s">
        <v>183</v>
      </c>
      <c r="D110" s="5" t="s">
        <v>261</v>
      </c>
      <c r="E110" s="5" t="s">
        <v>1410</v>
      </c>
      <c r="F110" s="5" t="s">
        <v>49</v>
      </c>
      <c r="G110" s="5" t="s">
        <v>1411</v>
      </c>
      <c r="H110" s="5" t="s">
        <v>1749</v>
      </c>
      <c r="I110" s="5" t="s">
        <v>1574</v>
      </c>
      <c r="J110" s="5" t="s">
        <v>1575</v>
      </c>
      <c r="K110" s="5" t="s">
        <v>1576</v>
      </c>
      <c r="L110" s="5" t="s">
        <v>1416</v>
      </c>
    </row>
    <row r="111" customFormat="false" ht="15" hidden="false" customHeight="false" outlineLevel="0" collapsed="false">
      <c r="A111" s="5" t="s">
        <v>1750</v>
      </c>
      <c r="B111" s="5" t="s">
        <v>256</v>
      </c>
      <c r="C111" s="5" t="s">
        <v>183</v>
      </c>
      <c r="D111" s="5" t="s">
        <v>261</v>
      </c>
      <c r="E111" s="5" t="s">
        <v>1553</v>
      </c>
      <c r="F111" s="5" t="s">
        <v>49</v>
      </c>
      <c r="G111" s="5" t="s">
        <v>1411</v>
      </c>
      <c r="H111" s="5" t="s">
        <v>1578</v>
      </c>
      <c r="I111" s="5" t="s">
        <v>1579</v>
      </c>
      <c r="J111" s="5" t="s">
        <v>1580</v>
      </c>
      <c r="K111" s="5" t="s">
        <v>1581</v>
      </c>
      <c r="L111" s="5" t="s">
        <v>1416</v>
      </c>
    </row>
    <row r="112" customFormat="false" ht="22.35" hidden="false" customHeight="false" outlineLevel="0" collapsed="false">
      <c r="A112" s="5" t="s">
        <v>1751</v>
      </c>
      <c r="B112" s="5" t="s">
        <v>256</v>
      </c>
      <c r="C112" s="5" t="s">
        <v>183</v>
      </c>
      <c r="D112" s="5" t="s">
        <v>261</v>
      </c>
      <c r="E112" s="5" t="s">
        <v>1480</v>
      </c>
      <c r="F112" s="5" t="s">
        <v>49</v>
      </c>
      <c r="G112" s="5" t="s">
        <v>1411</v>
      </c>
      <c r="H112" s="5" t="s">
        <v>1583</v>
      </c>
      <c r="I112" s="5" t="s">
        <v>1584</v>
      </c>
      <c r="J112" s="5" t="s">
        <v>1585</v>
      </c>
      <c r="K112" s="5" t="s">
        <v>1586</v>
      </c>
      <c r="L112" s="5" t="s">
        <v>1416</v>
      </c>
    </row>
    <row r="113" customFormat="false" ht="32.8" hidden="false" customHeight="false" outlineLevel="0" collapsed="false">
      <c r="A113" s="5" t="s">
        <v>1752</v>
      </c>
      <c r="B113" s="5" t="s">
        <v>267</v>
      </c>
      <c r="C113" s="5" t="s">
        <v>268</v>
      </c>
      <c r="D113" s="5" t="s">
        <v>273</v>
      </c>
      <c r="E113" s="5" t="s">
        <v>1410</v>
      </c>
      <c r="F113" s="5" t="s">
        <v>49</v>
      </c>
      <c r="G113" s="5" t="s">
        <v>1411</v>
      </c>
      <c r="H113" s="5" t="s">
        <v>1753</v>
      </c>
      <c r="I113" s="5" t="s">
        <v>1601</v>
      </c>
      <c r="J113" s="5" t="s">
        <v>1602</v>
      </c>
      <c r="K113" s="5" t="s">
        <v>1603</v>
      </c>
      <c r="L113" s="5" t="s">
        <v>1416</v>
      </c>
    </row>
    <row r="114" customFormat="false" ht="32.8" hidden="false" customHeight="false" outlineLevel="0" collapsed="false">
      <c r="A114" s="5" t="s">
        <v>1754</v>
      </c>
      <c r="B114" s="5" t="s">
        <v>267</v>
      </c>
      <c r="C114" s="5" t="s">
        <v>268</v>
      </c>
      <c r="D114" s="5" t="s">
        <v>273</v>
      </c>
      <c r="E114" s="5" t="s">
        <v>1480</v>
      </c>
      <c r="F114" s="5" t="s">
        <v>49</v>
      </c>
      <c r="G114" s="5" t="s">
        <v>1411</v>
      </c>
      <c r="H114" s="5" t="s">
        <v>1605</v>
      </c>
      <c r="I114" s="5" t="s">
        <v>1606</v>
      </c>
      <c r="J114" s="5" t="s">
        <v>1607</v>
      </c>
      <c r="K114" s="5" t="s">
        <v>1608</v>
      </c>
      <c r="L114" s="5" t="s">
        <v>1416</v>
      </c>
    </row>
    <row r="115" customFormat="false" ht="32.8" hidden="false" customHeight="false" outlineLevel="0" collapsed="false">
      <c r="A115" s="5" t="s">
        <v>1755</v>
      </c>
      <c r="B115" s="5" t="s">
        <v>267</v>
      </c>
      <c r="C115" s="5" t="s">
        <v>268</v>
      </c>
      <c r="D115" s="5" t="s">
        <v>273</v>
      </c>
      <c r="E115" s="5" t="s">
        <v>1439</v>
      </c>
      <c r="F115" s="5" t="s">
        <v>49</v>
      </c>
      <c r="G115" s="5" t="s">
        <v>1411</v>
      </c>
      <c r="H115" s="5" t="s">
        <v>1610</v>
      </c>
      <c r="I115" s="5" t="s">
        <v>1611</v>
      </c>
      <c r="J115" s="5" t="s">
        <v>1612</v>
      </c>
      <c r="K115" s="5" t="s">
        <v>1613</v>
      </c>
      <c r="L115" s="5" t="s">
        <v>1416</v>
      </c>
    </row>
    <row r="116" customFormat="false" ht="32.8" hidden="false" customHeight="false" outlineLevel="0" collapsed="false">
      <c r="A116" s="5" t="s">
        <v>1756</v>
      </c>
      <c r="B116" s="5" t="s">
        <v>267</v>
      </c>
      <c r="C116" s="5" t="s">
        <v>268</v>
      </c>
      <c r="D116" s="5" t="s">
        <v>273</v>
      </c>
      <c r="E116" s="5" t="s">
        <v>1338</v>
      </c>
      <c r="F116" s="5" t="s">
        <v>49</v>
      </c>
      <c r="G116" s="5" t="s">
        <v>1338</v>
      </c>
      <c r="H116" s="5" t="s">
        <v>1757</v>
      </c>
      <c r="I116" s="5" t="s">
        <v>1432</v>
      </c>
      <c r="J116" s="5" t="s">
        <v>1433</v>
      </c>
      <c r="K116" s="5" t="s">
        <v>1434</v>
      </c>
      <c r="L116" s="5" t="s">
        <v>1416</v>
      </c>
    </row>
    <row r="117" customFormat="false" ht="32.8" hidden="false" customHeight="false" outlineLevel="0" collapsed="false">
      <c r="A117" s="5" t="s">
        <v>1758</v>
      </c>
      <c r="B117" s="5" t="s">
        <v>283</v>
      </c>
      <c r="C117" s="5" t="s">
        <v>284</v>
      </c>
      <c r="D117" s="5" t="s">
        <v>288</v>
      </c>
      <c r="E117" s="5" t="s">
        <v>1410</v>
      </c>
      <c r="F117" s="5" t="s">
        <v>107</v>
      </c>
      <c r="G117" s="5" t="s">
        <v>1411</v>
      </c>
      <c r="H117" s="5" t="s">
        <v>1759</v>
      </c>
      <c r="I117" s="5" t="s">
        <v>1413</v>
      </c>
      <c r="J117" s="5" t="s">
        <v>1760</v>
      </c>
      <c r="K117" s="5" t="s">
        <v>1415</v>
      </c>
      <c r="L117" s="5" t="s">
        <v>1416</v>
      </c>
    </row>
    <row r="118" customFormat="false" ht="22.35" hidden="false" customHeight="false" outlineLevel="0" collapsed="false">
      <c r="A118" s="5" t="s">
        <v>1761</v>
      </c>
      <c r="B118" s="5" t="s">
        <v>283</v>
      </c>
      <c r="C118" s="5" t="s">
        <v>284</v>
      </c>
      <c r="D118" s="5" t="s">
        <v>288</v>
      </c>
      <c r="E118" s="5" t="s">
        <v>1439</v>
      </c>
      <c r="F118" s="5" t="s">
        <v>107</v>
      </c>
      <c r="G118" s="5" t="s">
        <v>1411</v>
      </c>
      <c r="H118" s="5" t="s">
        <v>1762</v>
      </c>
      <c r="I118" s="5" t="s">
        <v>1763</v>
      </c>
      <c r="J118" s="5" t="s">
        <v>1764</v>
      </c>
      <c r="K118" s="5" t="s">
        <v>1765</v>
      </c>
      <c r="L118" s="5" t="s">
        <v>1416</v>
      </c>
    </row>
    <row r="119" customFormat="false" ht="32.8" hidden="false" customHeight="false" outlineLevel="0" collapsed="false">
      <c r="A119" s="5" t="s">
        <v>1766</v>
      </c>
      <c r="B119" s="5" t="s">
        <v>283</v>
      </c>
      <c r="C119" s="5" t="s">
        <v>284</v>
      </c>
      <c r="D119" s="5" t="s">
        <v>288</v>
      </c>
      <c r="E119" s="5" t="s">
        <v>1418</v>
      </c>
      <c r="F119" s="5" t="s">
        <v>107</v>
      </c>
      <c r="G119" s="5" t="s">
        <v>1411</v>
      </c>
      <c r="H119" s="5" t="s">
        <v>1419</v>
      </c>
      <c r="I119" s="5" t="s">
        <v>1420</v>
      </c>
      <c r="J119" s="5" t="s">
        <v>1767</v>
      </c>
      <c r="K119" s="5" t="s">
        <v>1422</v>
      </c>
      <c r="L119" s="5" t="s">
        <v>1416</v>
      </c>
    </row>
    <row r="120" customFormat="false" ht="22.35" hidden="false" customHeight="false" outlineLevel="0" collapsed="false">
      <c r="A120" s="5" t="s">
        <v>1768</v>
      </c>
      <c r="B120" s="5" t="s">
        <v>283</v>
      </c>
      <c r="C120" s="5" t="s">
        <v>284</v>
      </c>
      <c r="D120" s="5" t="s">
        <v>288</v>
      </c>
      <c r="E120" s="5" t="s">
        <v>1424</v>
      </c>
      <c r="F120" s="5" t="s">
        <v>107</v>
      </c>
      <c r="G120" s="5" t="s">
        <v>1425</v>
      </c>
      <c r="H120" s="5" t="s">
        <v>1769</v>
      </c>
      <c r="I120" s="5" t="s">
        <v>1427</v>
      </c>
      <c r="J120" s="5" t="s">
        <v>1428</v>
      </c>
      <c r="K120" s="5" t="s">
        <v>1429</v>
      </c>
      <c r="L120" s="5" t="s">
        <v>1416</v>
      </c>
    </row>
    <row r="121" customFormat="false" ht="22.35" hidden="false" customHeight="false" outlineLevel="0" collapsed="false">
      <c r="A121" s="5" t="s">
        <v>1770</v>
      </c>
      <c r="B121" s="5" t="s">
        <v>283</v>
      </c>
      <c r="C121" s="5" t="s">
        <v>284</v>
      </c>
      <c r="D121" s="5" t="s">
        <v>288</v>
      </c>
      <c r="E121" s="5" t="s">
        <v>1338</v>
      </c>
      <c r="F121" s="5" t="s">
        <v>107</v>
      </c>
      <c r="G121" s="5" t="s">
        <v>1338</v>
      </c>
      <c r="H121" s="5" t="s">
        <v>1771</v>
      </c>
      <c r="I121" s="5" t="s">
        <v>1432</v>
      </c>
      <c r="J121" s="5" t="s">
        <v>1433</v>
      </c>
      <c r="K121" s="5" t="s">
        <v>1434</v>
      </c>
      <c r="L121" s="5" t="s">
        <v>1416</v>
      </c>
    </row>
    <row r="122" customFormat="false" ht="22.35" hidden="false" customHeight="false" outlineLevel="0" collapsed="false">
      <c r="A122" s="5" t="s">
        <v>1772</v>
      </c>
      <c r="B122" s="5" t="s">
        <v>294</v>
      </c>
      <c r="C122" s="5" t="s">
        <v>284</v>
      </c>
      <c r="D122" s="5" t="s">
        <v>297</v>
      </c>
      <c r="E122" s="5" t="s">
        <v>1410</v>
      </c>
      <c r="F122" s="5" t="s">
        <v>49</v>
      </c>
      <c r="G122" s="5" t="s">
        <v>1425</v>
      </c>
      <c r="H122" s="5" t="s">
        <v>1773</v>
      </c>
      <c r="I122" s="5" t="s">
        <v>1549</v>
      </c>
      <c r="J122" s="5" t="s">
        <v>1774</v>
      </c>
      <c r="K122" s="5" t="s">
        <v>1775</v>
      </c>
      <c r="L122" s="5" t="s">
        <v>1416</v>
      </c>
    </row>
    <row r="123" customFormat="false" ht="22.35" hidden="false" customHeight="false" outlineLevel="0" collapsed="false">
      <c r="A123" s="5" t="s">
        <v>1776</v>
      </c>
      <c r="B123" s="5" t="s">
        <v>294</v>
      </c>
      <c r="C123" s="5" t="s">
        <v>284</v>
      </c>
      <c r="D123" s="5" t="s">
        <v>297</v>
      </c>
      <c r="E123" s="5" t="s">
        <v>1553</v>
      </c>
      <c r="F123" s="5" t="s">
        <v>49</v>
      </c>
      <c r="G123" s="5" t="s">
        <v>1425</v>
      </c>
      <c r="H123" s="5" t="s">
        <v>1554</v>
      </c>
      <c r="I123" s="5" t="s">
        <v>1555</v>
      </c>
      <c r="J123" s="5" t="s">
        <v>1777</v>
      </c>
      <c r="K123" s="5" t="s">
        <v>1557</v>
      </c>
      <c r="L123" s="5" t="s">
        <v>1416</v>
      </c>
    </row>
    <row r="124" customFormat="false" ht="22.35" hidden="false" customHeight="false" outlineLevel="0" collapsed="false">
      <c r="A124" s="5" t="s">
        <v>1778</v>
      </c>
      <c r="B124" s="5" t="s">
        <v>294</v>
      </c>
      <c r="C124" s="5" t="s">
        <v>284</v>
      </c>
      <c r="D124" s="5" t="s">
        <v>297</v>
      </c>
      <c r="E124" s="5" t="s">
        <v>1424</v>
      </c>
      <c r="F124" s="5" t="s">
        <v>49</v>
      </c>
      <c r="G124" s="5" t="s">
        <v>1425</v>
      </c>
      <c r="H124" s="5" t="s">
        <v>1779</v>
      </c>
      <c r="I124" s="5" t="s">
        <v>1560</v>
      </c>
      <c r="J124" s="5" t="s">
        <v>1780</v>
      </c>
      <c r="K124" s="5" t="s">
        <v>1781</v>
      </c>
      <c r="L124" s="5" t="s">
        <v>1416</v>
      </c>
    </row>
    <row r="125" customFormat="false" ht="32.8" hidden="false" customHeight="false" outlineLevel="0" collapsed="false">
      <c r="A125" s="5" t="s">
        <v>1782</v>
      </c>
      <c r="B125" s="5" t="s">
        <v>300</v>
      </c>
      <c r="C125" s="5" t="s">
        <v>284</v>
      </c>
      <c r="D125" s="5" t="s">
        <v>303</v>
      </c>
      <c r="E125" s="5" t="s">
        <v>1410</v>
      </c>
      <c r="F125" s="5" t="s">
        <v>49</v>
      </c>
      <c r="G125" s="5" t="s">
        <v>1425</v>
      </c>
      <c r="H125" s="5" t="s">
        <v>1783</v>
      </c>
      <c r="I125" s="5" t="s">
        <v>1549</v>
      </c>
      <c r="J125" s="5" t="s">
        <v>1784</v>
      </c>
      <c r="K125" s="5" t="s">
        <v>1785</v>
      </c>
      <c r="L125" s="5" t="s">
        <v>1416</v>
      </c>
    </row>
    <row r="126" customFormat="false" ht="32.8" hidden="false" customHeight="false" outlineLevel="0" collapsed="false">
      <c r="A126" s="5" t="s">
        <v>1786</v>
      </c>
      <c r="B126" s="5" t="s">
        <v>300</v>
      </c>
      <c r="C126" s="5" t="s">
        <v>284</v>
      </c>
      <c r="D126" s="5" t="s">
        <v>303</v>
      </c>
      <c r="E126" s="5" t="s">
        <v>1553</v>
      </c>
      <c r="F126" s="5" t="s">
        <v>49</v>
      </c>
      <c r="G126" s="5" t="s">
        <v>1425</v>
      </c>
      <c r="H126" s="5" t="s">
        <v>1554</v>
      </c>
      <c r="I126" s="5" t="s">
        <v>1555</v>
      </c>
      <c r="J126" s="5" t="s">
        <v>1787</v>
      </c>
      <c r="K126" s="5" t="s">
        <v>1557</v>
      </c>
      <c r="L126" s="5" t="s">
        <v>1416</v>
      </c>
    </row>
    <row r="127" customFormat="false" ht="32.8" hidden="false" customHeight="false" outlineLevel="0" collapsed="false">
      <c r="A127" s="5" t="s">
        <v>1788</v>
      </c>
      <c r="B127" s="5" t="s">
        <v>300</v>
      </c>
      <c r="C127" s="5" t="s">
        <v>284</v>
      </c>
      <c r="D127" s="5" t="s">
        <v>303</v>
      </c>
      <c r="E127" s="5" t="s">
        <v>1424</v>
      </c>
      <c r="F127" s="5" t="s">
        <v>49</v>
      </c>
      <c r="G127" s="5" t="s">
        <v>1425</v>
      </c>
      <c r="H127" s="5" t="s">
        <v>1789</v>
      </c>
      <c r="I127" s="5" t="s">
        <v>1560</v>
      </c>
      <c r="J127" s="5" t="s">
        <v>1790</v>
      </c>
      <c r="K127" s="5" t="s">
        <v>1791</v>
      </c>
      <c r="L127" s="5" t="s">
        <v>1416</v>
      </c>
    </row>
    <row r="128" customFormat="false" ht="22.35" hidden="false" customHeight="false" outlineLevel="0" collapsed="false">
      <c r="A128" s="5" t="s">
        <v>1792</v>
      </c>
      <c r="B128" s="5" t="s">
        <v>308</v>
      </c>
      <c r="C128" s="5" t="s">
        <v>284</v>
      </c>
      <c r="D128" s="5" t="s">
        <v>312</v>
      </c>
      <c r="E128" s="5" t="s">
        <v>1410</v>
      </c>
      <c r="F128" s="5" t="s">
        <v>49</v>
      </c>
      <c r="G128" s="5" t="s">
        <v>1425</v>
      </c>
      <c r="H128" s="5" t="s">
        <v>1793</v>
      </c>
      <c r="I128" s="5" t="s">
        <v>1549</v>
      </c>
      <c r="J128" s="5" t="s">
        <v>1794</v>
      </c>
      <c r="K128" s="5" t="s">
        <v>1795</v>
      </c>
      <c r="L128" s="5" t="s">
        <v>1416</v>
      </c>
    </row>
    <row r="129" customFormat="false" ht="22.35" hidden="false" customHeight="false" outlineLevel="0" collapsed="false">
      <c r="A129" s="5" t="s">
        <v>1796</v>
      </c>
      <c r="B129" s="5" t="s">
        <v>308</v>
      </c>
      <c r="C129" s="5" t="s">
        <v>284</v>
      </c>
      <c r="D129" s="5" t="s">
        <v>312</v>
      </c>
      <c r="E129" s="5" t="s">
        <v>1553</v>
      </c>
      <c r="F129" s="5" t="s">
        <v>49</v>
      </c>
      <c r="G129" s="5" t="s">
        <v>1425</v>
      </c>
      <c r="H129" s="5" t="s">
        <v>1554</v>
      </c>
      <c r="I129" s="5" t="s">
        <v>1555</v>
      </c>
      <c r="J129" s="5" t="s">
        <v>1797</v>
      </c>
      <c r="K129" s="5" t="s">
        <v>1557</v>
      </c>
      <c r="L129" s="5" t="s">
        <v>1416</v>
      </c>
    </row>
    <row r="130" customFormat="false" ht="32.8" hidden="false" customHeight="false" outlineLevel="0" collapsed="false">
      <c r="A130" s="5" t="s">
        <v>1798</v>
      </c>
      <c r="B130" s="5" t="s">
        <v>308</v>
      </c>
      <c r="C130" s="5" t="s">
        <v>284</v>
      </c>
      <c r="D130" s="5" t="s">
        <v>312</v>
      </c>
      <c r="E130" s="5" t="s">
        <v>1424</v>
      </c>
      <c r="F130" s="5" t="s">
        <v>49</v>
      </c>
      <c r="G130" s="5" t="s">
        <v>1425</v>
      </c>
      <c r="H130" s="5" t="s">
        <v>1799</v>
      </c>
      <c r="I130" s="5" t="s">
        <v>1560</v>
      </c>
      <c r="J130" s="5" t="s">
        <v>1800</v>
      </c>
      <c r="K130" s="5" t="s">
        <v>1801</v>
      </c>
      <c r="L130" s="5" t="s">
        <v>1416</v>
      </c>
    </row>
    <row r="131" customFormat="false" ht="22.35" hidden="false" customHeight="false" outlineLevel="0" collapsed="false">
      <c r="A131" s="5" t="s">
        <v>1802</v>
      </c>
      <c r="B131" s="5" t="s">
        <v>316</v>
      </c>
      <c r="C131" s="5" t="s">
        <v>284</v>
      </c>
      <c r="D131" s="5" t="s">
        <v>322</v>
      </c>
      <c r="E131" s="5" t="s">
        <v>1410</v>
      </c>
      <c r="F131" s="5" t="s">
        <v>107</v>
      </c>
      <c r="G131" s="5" t="s">
        <v>1411</v>
      </c>
      <c r="H131" s="5" t="s">
        <v>1803</v>
      </c>
      <c r="I131" s="5" t="s">
        <v>1413</v>
      </c>
      <c r="J131" s="5" t="s">
        <v>1804</v>
      </c>
      <c r="K131" s="5" t="s">
        <v>1415</v>
      </c>
      <c r="L131" s="5" t="s">
        <v>1416</v>
      </c>
    </row>
    <row r="132" customFormat="false" ht="22.35" hidden="false" customHeight="false" outlineLevel="0" collapsed="false">
      <c r="A132" s="5" t="s">
        <v>1805</v>
      </c>
      <c r="B132" s="5" t="s">
        <v>316</v>
      </c>
      <c r="C132" s="5" t="s">
        <v>284</v>
      </c>
      <c r="D132" s="5" t="s">
        <v>322</v>
      </c>
      <c r="E132" s="5" t="s">
        <v>1439</v>
      </c>
      <c r="F132" s="5" t="s">
        <v>107</v>
      </c>
      <c r="G132" s="5" t="s">
        <v>1411</v>
      </c>
      <c r="H132" s="5" t="s">
        <v>1440</v>
      </c>
      <c r="I132" s="5" t="s">
        <v>1441</v>
      </c>
      <c r="J132" s="5" t="s">
        <v>1806</v>
      </c>
      <c r="K132" s="5" t="s">
        <v>1443</v>
      </c>
      <c r="L132" s="5" t="s">
        <v>1416</v>
      </c>
    </row>
    <row r="133" customFormat="false" ht="22.35" hidden="false" customHeight="false" outlineLevel="0" collapsed="false">
      <c r="A133" s="5" t="s">
        <v>1807</v>
      </c>
      <c r="B133" s="5" t="s">
        <v>316</v>
      </c>
      <c r="C133" s="5" t="s">
        <v>284</v>
      </c>
      <c r="D133" s="5" t="s">
        <v>322</v>
      </c>
      <c r="E133" s="5" t="s">
        <v>1439</v>
      </c>
      <c r="F133" s="5" t="s">
        <v>107</v>
      </c>
      <c r="G133" s="5" t="s">
        <v>1411</v>
      </c>
      <c r="H133" s="5" t="s">
        <v>1808</v>
      </c>
      <c r="I133" s="5" t="s">
        <v>1809</v>
      </c>
      <c r="J133" s="5" t="s">
        <v>1806</v>
      </c>
      <c r="K133" s="5" t="s">
        <v>1810</v>
      </c>
      <c r="L133" s="5" t="s">
        <v>1416</v>
      </c>
    </row>
    <row r="134" customFormat="false" ht="22.35" hidden="false" customHeight="false" outlineLevel="0" collapsed="false">
      <c r="A134" s="5" t="s">
        <v>1811</v>
      </c>
      <c r="B134" s="5" t="s">
        <v>316</v>
      </c>
      <c r="C134" s="5" t="s">
        <v>284</v>
      </c>
      <c r="D134" s="5" t="s">
        <v>322</v>
      </c>
      <c r="E134" s="5" t="s">
        <v>1439</v>
      </c>
      <c r="F134" s="5" t="s">
        <v>107</v>
      </c>
      <c r="G134" s="5" t="s">
        <v>1411</v>
      </c>
      <c r="H134" s="5" t="s">
        <v>1812</v>
      </c>
      <c r="I134" s="5" t="s">
        <v>1813</v>
      </c>
      <c r="J134" s="5" t="s">
        <v>1806</v>
      </c>
      <c r="K134" s="5" t="s">
        <v>1814</v>
      </c>
      <c r="L134" s="5" t="s">
        <v>1416</v>
      </c>
    </row>
    <row r="135" customFormat="false" ht="22.35" hidden="false" customHeight="false" outlineLevel="0" collapsed="false">
      <c r="A135" s="5" t="s">
        <v>1815</v>
      </c>
      <c r="B135" s="5" t="s">
        <v>316</v>
      </c>
      <c r="C135" s="5" t="s">
        <v>284</v>
      </c>
      <c r="D135" s="5" t="s">
        <v>322</v>
      </c>
      <c r="E135" s="5" t="s">
        <v>1418</v>
      </c>
      <c r="F135" s="5" t="s">
        <v>107</v>
      </c>
      <c r="G135" s="5" t="s">
        <v>1411</v>
      </c>
      <c r="H135" s="5" t="s">
        <v>1419</v>
      </c>
      <c r="I135" s="5" t="s">
        <v>1816</v>
      </c>
      <c r="J135" s="5" t="s">
        <v>1817</v>
      </c>
      <c r="K135" s="5" t="s">
        <v>1422</v>
      </c>
      <c r="L135" s="5" t="s">
        <v>1416</v>
      </c>
    </row>
    <row r="136" customFormat="false" ht="22.35" hidden="false" customHeight="false" outlineLevel="0" collapsed="false">
      <c r="A136" s="5" t="s">
        <v>1818</v>
      </c>
      <c r="B136" s="5" t="s">
        <v>316</v>
      </c>
      <c r="C136" s="5" t="s">
        <v>284</v>
      </c>
      <c r="D136" s="5" t="s">
        <v>322</v>
      </c>
      <c r="E136" s="5" t="s">
        <v>1480</v>
      </c>
      <c r="F136" s="5" t="s">
        <v>107</v>
      </c>
      <c r="G136" s="5" t="s">
        <v>1411</v>
      </c>
      <c r="H136" s="5" t="s">
        <v>1481</v>
      </c>
      <c r="I136" s="5" t="s">
        <v>327</v>
      </c>
      <c r="J136" s="5" t="s">
        <v>1819</v>
      </c>
      <c r="K136" s="5" t="s">
        <v>1483</v>
      </c>
      <c r="L136" s="5" t="s">
        <v>1416</v>
      </c>
    </row>
    <row r="137" customFormat="false" ht="22.35" hidden="false" customHeight="false" outlineLevel="0" collapsed="false">
      <c r="A137" s="5" t="s">
        <v>1820</v>
      </c>
      <c r="B137" s="5" t="s">
        <v>316</v>
      </c>
      <c r="C137" s="5" t="s">
        <v>284</v>
      </c>
      <c r="D137" s="5" t="s">
        <v>322</v>
      </c>
      <c r="E137" s="5" t="s">
        <v>1424</v>
      </c>
      <c r="F137" s="5" t="s">
        <v>107</v>
      </c>
      <c r="G137" s="5" t="s">
        <v>1425</v>
      </c>
      <c r="H137" s="5" t="s">
        <v>1821</v>
      </c>
      <c r="I137" s="5" t="s">
        <v>1427</v>
      </c>
      <c r="J137" s="5" t="s">
        <v>1428</v>
      </c>
      <c r="K137" s="5" t="s">
        <v>1429</v>
      </c>
      <c r="L137" s="5" t="s">
        <v>1416</v>
      </c>
    </row>
    <row r="138" customFormat="false" ht="22.35" hidden="false" customHeight="false" outlineLevel="0" collapsed="false">
      <c r="A138" s="5" t="s">
        <v>1822</v>
      </c>
      <c r="B138" s="5" t="s">
        <v>316</v>
      </c>
      <c r="C138" s="5" t="s">
        <v>284</v>
      </c>
      <c r="D138" s="5" t="s">
        <v>322</v>
      </c>
      <c r="E138" s="5" t="s">
        <v>1338</v>
      </c>
      <c r="F138" s="5" t="s">
        <v>107</v>
      </c>
      <c r="G138" s="5" t="s">
        <v>1338</v>
      </c>
      <c r="H138" s="5" t="s">
        <v>1823</v>
      </c>
      <c r="I138" s="5" t="s">
        <v>1432</v>
      </c>
      <c r="J138" s="5" t="s">
        <v>1433</v>
      </c>
      <c r="K138" s="5" t="s">
        <v>1434</v>
      </c>
      <c r="L138" s="5" t="s">
        <v>1416</v>
      </c>
    </row>
    <row r="139" customFormat="false" ht="22.35" hidden="false" customHeight="false" outlineLevel="0" collapsed="false">
      <c r="A139" s="5" t="s">
        <v>1824</v>
      </c>
      <c r="B139" s="5" t="s">
        <v>331</v>
      </c>
      <c r="C139" s="5" t="s">
        <v>284</v>
      </c>
      <c r="D139" s="5" t="s">
        <v>335</v>
      </c>
      <c r="E139" s="5" t="s">
        <v>1410</v>
      </c>
      <c r="F139" s="5" t="s">
        <v>107</v>
      </c>
      <c r="G139" s="5" t="s">
        <v>1411</v>
      </c>
      <c r="H139" s="5" t="s">
        <v>1825</v>
      </c>
      <c r="I139" s="5" t="s">
        <v>1413</v>
      </c>
      <c r="J139" s="5" t="s">
        <v>1826</v>
      </c>
      <c r="K139" s="5" t="s">
        <v>1415</v>
      </c>
      <c r="L139" s="5" t="s">
        <v>1416</v>
      </c>
    </row>
    <row r="140" customFormat="false" ht="22.35" hidden="false" customHeight="false" outlineLevel="0" collapsed="false">
      <c r="A140" s="5" t="s">
        <v>1827</v>
      </c>
      <c r="B140" s="5" t="s">
        <v>331</v>
      </c>
      <c r="C140" s="5" t="s">
        <v>284</v>
      </c>
      <c r="D140" s="5" t="s">
        <v>335</v>
      </c>
      <c r="E140" s="5" t="s">
        <v>1439</v>
      </c>
      <c r="F140" s="5" t="s">
        <v>107</v>
      </c>
      <c r="G140" s="5" t="s">
        <v>1411</v>
      </c>
      <c r="H140" s="5" t="s">
        <v>1440</v>
      </c>
      <c r="I140" s="5" t="s">
        <v>1441</v>
      </c>
      <c r="J140" s="5" t="s">
        <v>1828</v>
      </c>
      <c r="K140" s="5" t="s">
        <v>1443</v>
      </c>
      <c r="L140" s="5" t="s">
        <v>1416</v>
      </c>
    </row>
    <row r="141" customFormat="false" ht="22.35" hidden="false" customHeight="false" outlineLevel="0" collapsed="false">
      <c r="A141" s="5" t="s">
        <v>1829</v>
      </c>
      <c r="B141" s="5" t="s">
        <v>331</v>
      </c>
      <c r="C141" s="5" t="s">
        <v>284</v>
      </c>
      <c r="D141" s="5" t="s">
        <v>335</v>
      </c>
      <c r="E141" s="5" t="s">
        <v>1439</v>
      </c>
      <c r="F141" s="5" t="s">
        <v>107</v>
      </c>
      <c r="G141" s="5" t="s">
        <v>1411</v>
      </c>
      <c r="H141" s="5" t="s">
        <v>1830</v>
      </c>
      <c r="I141" s="5" t="s">
        <v>1831</v>
      </c>
      <c r="J141" s="5" t="s">
        <v>1828</v>
      </c>
      <c r="K141" s="5" t="s">
        <v>1832</v>
      </c>
      <c r="L141" s="5" t="s">
        <v>1416</v>
      </c>
    </row>
    <row r="142" customFormat="false" ht="22.35" hidden="false" customHeight="false" outlineLevel="0" collapsed="false">
      <c r="A142" s="5" t="s">
        <v>1833</v>
      </c>
      <c r="B142" s="5" t="s">
        <v>331</v>
      </c>
      <c r="C142" s="5" t="s">
        <v>284</v>
      </c>
      <c r="D142" s="5" t="s">
        <v>335</v>
      </c>
      <c r="E142" s="5" t="s">
        <v>1439</v>
      </c>
      <c r="F142" s="5" t="s">
        <v>107</v>
      </c>
      <c r="G142" s="5" t="s">
        <v>1411</v>
      </c>
      <c r="H142" s="5" t="s">
        <v>1834</v>
      </c>
      <c r="I142" s="5" t="s">
        <v>1835</v>
      </c>
      <c r="J142" s="5" t="s">
        <v>1828</v>
      </c>
      <c r="K142" s="5" t="s">
        <v>1836</v>
      </c>
      <c r="L142" s="5" t="s">
        <v>1416</v>
      </c>
    </row>
    <row r="143" customFormat="false" ht="22.35" hidden="false" customHeight="false" outlineLevel="0" collapsed="false">
      <c r="A143" s="5" t="s">
        <v>1837</v>
      </c>
      <c r="B143" s="5" t="s">
        <v>331</v>
      </c>
      <c r="C143" s="5" t="s">
        <v>284</v>
      </c>
      <c r="D143" s="5" t="s">
        <v>335</v>
      </c>
      <c r="E143" s="5" t="s">
        <v>1439</v>
      </c>
      <c r="F143" s="5" t="s">
        <v>107</v>
      </c>
      <c r="G143" s="5" t="s">
        <v>1411</v>
      </c>
      <c r="H143" s="5" t="s">
        <v>1812</v>
      </c>
      <c r="I143" s="5" t="s">
        <v>1813</v>
      </c>
      <c r="J143" s="5" t="s">
        <v>1828</v>
      </c>
      <c r="K143" s="5" t="s">
        <v>1814</v>
      </c>
      <c r="L143" s="5" t="s">
        <v>1416</v>
      </c>
    </row>
    <row r="144" customFormat="false" ht="22.35" hidden="false" customHeight="false" outlineLevel="0" collapsed="false">
      <c r="A144" s="5" t="s">
        <v>1838</v>
      </c>
      <c r="B144" s="5" t="s">
        <v>331</v>
      </c>
      <c r="C144" s="5" t="s">
        <v>284</v>
      </c>
      <c r="D144" s="5" t="s">
        <v>335</v>
      </c>
      <c r="E144" s="5" t="s">
        <v>1418</v>
      </c>
      <c r="F144" s="5" t="s">
        <v>107</v>
      </c>
      <c r="G144" s="5" t="s">
        <v>1411</v>
      </c>
      <c r="H144" s="5" t="s">
        <v>1419</v>
      </c>
      <c r="I144" s="5" t="s">
        <v>1839</v>
      </c>
      <c r="J144" s="5" t="s">
        <v>1840</v>
      </c>
      <c r="K144" s="5" t="s">
        <v>1422</v>
      </c>
      <c r="L144" s="5" t="s">
        <v>1416</v>
      </c>
    </row>
    <row r="145" customFormat="false" ht="22.35" hidden="false" customHeight="false" outlineLevel="0" collapsed="false">
      <c r="A145" s="5" t="s">
        <v>1841</v>
      </c>
      <c r="B145" s="5" t="s">
        <v>331</v>
      </c>
      <c r="C145" s="5" t="s">
        <v>284</v>
      </c>
      <c r="D145" s="5" t="s">
        <v>335</v>
      </c>
      <c r="E145" s="5" t="s">
        <v>1480</v>
      </c>
      <c r="F145" s="5" t="s">
        <v>107</v>
      </c>
      <c r="G145" s="5" t="s">
        <v>1411</v>
      </c>
      <c r="H145" s="5" t="s">
        <v>1481</v>
      </c>
      <c r="I145" s="5" t="s">
        <v>338</v>
      </c>
      <c r="J145" s="5" t="s">
        <v>1842</v>
      </c>
      <c r="K145" s="5" t="s">
        <v>1483</v>
      </c>
      <c r="L145" s="5" t="s">
        <v>1416</v>
      </c>
    </row>
    <row r="146" customFormat="false" ht="22.35" hidden="false" customHeight="false" outlineLevel="0" collapsed="false">
      <c r="A146" s="5" t="s">
        <v>1843</v>
      </c>
      <c r="B146" s="5" t="s">
        <v>331</v>
      </c>
      <c r="C146" s="5" t="s">
        <v>284</v>
      </c>
      <c r="D146" s="5" t="s">
        <v>335</v>
      </c>
      <c r="E146" s="5" t="s">
        <v>1424</v>
      </c>
      <c r="F146" s="5" t="s">
        <v>107</v>
      </c>
      <c r="G146" s="5" t="s">
        <v>1425</v>
      </c>
      <c r="H146" s="5" t="s">
        <v>1844</v>
      </c>
      <c r="I146" s="5" t="s">
        <v>1427</v>
      </c>
      <c r="J146" s="5" t="s">
        <v>1428</v>
      </c>
      <c r="K146" s="5" t="s">
        <v>1429</v>
      </c>
      <c r="L146" s="5" t="s">
        <v>1416</v>
      </c>
    </row>
    <row r="147" customFormat="false" ht="22.35" hidden="false" customHeight="false" outlineLevel="0" collapsed="false">
      <c r="A147" s="5" t="s">
        <v>1845</v>
      </c>
      <c r="B147" s="5" t="s">
        <v>341</v>
      </c>
      <c r="C147" s="5" t="s">
        <v>284</v>
      </c>
      <c r="D147" s="5" t="s">
        <v>335</v>
      </c>
      <c r="E147" s="5" t="s">
        <v>1410</v>
      </c>
      <c r="F147" s="5" t="s">
        <v>162</v>
      </c>
      <c r="G147" s="5" t="s">
        <v>1411</v>
      </c>
      <c r="H147" s="5" t="s">
        <v>1846</v>
      </c>
      <c r="I147" s="5" t="s">
        <v>1413</v>
      </c>
      <c r="J147" s="5" t="s">
        <v>1847</v>
      </c>
      <c r="K147" s="5" t="s">
        <v>1415</v>
      </c>
      <c r="L147" s="5" t="s">
        <v>1416</v>
      </c>
    </row>
    <row r="148" customFormat="false" ht="22.35" hidden="false" customHeight="false" outlineLevel="0" collapsed="false">
      <c r="A148" s="5" t="s">
        <v>1848</v>
      </c>
      <c r="B148" s="5" t="s">
        <v>341</v>
      </c>
      <c r="C148" s="5" t="s">
        <v>284</v>
      </c>
      <c r="D148" s="5" t="s">
        <v>335</v>
      </c>
      <c r="E148" s="5" t="s">
        <v>1439</v>
      </c>
      <c r="F148" s="5" t="s">
        <v>162</v>
      </c>
      <c r="G148" s="5" t="s">
        <v>1411</v>
      </c>
      <c r="H148" s="5" t="s">
        <v>1812</v>
      </c>
      <c r="I148" s="5" t="s">
        <v>1813</v>
      </c>
      <c r="J148" s="5" t="s">
        <v>1849</v>
      </c>
      <c r="K148" s="5" t="s">
        <v>1814</v>
      </c>
      <c r="L148" s="5" t="s">
        <v>1416</v>
      </c>
    </row>
    <row r="149" customFormat="false" ht="22.35" hidden="false" customHeight="false" outlineLevel="0" collapsed="false">
      <c r="A149" s="5" t="s">
        <v>1850</v>
      </c>
      <c r="B149" s="5" t="s">
        <v>341</v>
      </c>
      <c r="C149" s="5" t="s">
        <v>284</v>
      </c>
      <c r="D149" s="5" t="s">
        <v>335</v>
      </c>
      <c r="E149" s="5" t="s">
        <v>1418</v>
      </c>
      <c r="F149" s="5" t="s">
        <v>162</v>
      </c>
      <c r="G149" s="5" t="s">
        <v>1411</v>
      </c>
      <c r="H149" s="5" t="s">
        <v>1419</v>
      </c>
      <c r="I149" s="5" t="s">
        <v>1851</v>
      </c>
      <c r="J149" s="5" t="s">
        <v>1852</v>
      </c>
      <c r="K149" s="5" t="s">
        <v>1422</v>
      </c>
      <c r="L149" s="5" t="s">
        <v>1416</v>
      </c>
    </row>
    <row r="150" customFormat="false" ht="22.35" hidden="false" customHeight="false" outlineLevel="0" collapsed="false">
      <c r="A150" s="5" t="s">
        <v>1853</v>
      </c>
      <c r="B150" s="5" t="s">
        <v>341</v>
      </c>
      <c r="C150" s="5" t="s">
        <v>284</v>
      </c>
      <c r="D150" s="5" t="s">
        <v>335</v>
      </c>
      <c r="E150" s="5" t="s">
        <v>1424</v>
      </c>
      <c r="F150" s="5" t="s">
        <v>162</v>
      </c>
      <c r="G150" s="5" t="s">
        <v>1425</v>
      </c>
      <c r="H150" s="5" t="s">
        <v>1854</v>
      </c>
      <c r="I150" s="5" t="s">
        <v>1427</v>
      </c>
      <c r="J150" s="5" t="s">
        <v>1428</v>
      </c>
      <c r="K150" s="5" t="s">
        <v>1429</v>
      </c>
      <c r="L150" s="5" t="s">
        <v>1416</v>
      </c>
    </row>
    <row r="151" customFormat="false" ht="22.35" hidden="false" customHeight="false" outlineLevel="0" collapsed="false">
      <c r="A151" s="5" t="s">
        <v>1855</v>
      </c>
      <c r="B151" s="5" t="s">
        <v>348</v>
      </c>
      <c r="C151" s="5" t="s">
        <v>284</v>
      </c>
      <c r="D151" s="5" t="s">
        <v>352</v>
      </c>
      <c r="E151" s="5" t="s">
        <v>1410</v>
      </c>
      <c r="F151" s="5" t="s">
        <v>162</v>
      </c>
      <c r="G151" s="5" t="s">
        <v>1411</v>
      </c>
      <c r="H151" s="5" t="s">
        <v>1856</v>
      </c>
      <c r="I151" s="5" t="s">
        <v>1574</v>
      </c>
      <c r="J151" s="5" t="s">
        <v>1575</v>
      </c>
      <c r="K151" s="5" t="s">
        <v>1576</v>
      </c>
      <c r="L151" s="5" t="s">
        <v>1416</v>
      </c>
    </row>
    <row r="152" customFormat="false" ht="15" hidden="false" customHeight="false" outlineLevel="0" collapsed="false">
      <c r="A152" s="5" t="s">
        <v>1857</v>
      </c>
      <c r="B152" s="5" t="s">
        <v>348</v>
      </c>
      <c r="C152" s="5" t="s">
        <v>284</v>
      </c>
      <c r="D152" s="5" t="s">
        <v>352</v>
      </c>
      <c r="E152" s="5" t="s">
        <v>1553</v>
      </c>
      <c r="F152" s="5" t="s">
        <v>162</v>
      </c>
      <c r="G152" s="5" t="s">
        <v>1411</v>
      </c>
      <c r="H152" s="5" t="s">
        <v>1578</v>
      </c>
      <c r="I152" s="5" t="s">
        <v>1579</v>
      </c>
      <c r="J152" s="5" t="s">
        <v>1580</v>
      </c>
      <c r="K152" s="5" t="s">
        <v>1581</v>
      </c>
      <c r="L152" s="5" t="s">
        <v>1416</v>
      </c>
    </row>
    <row r="153" customFormat="false" ht="22.35" hidden="false" customHeight="false" outlineLevel="0" collapsed="false">
      <c r="A153" s="5" t="s">
        <v>1858</v>
      </c>
      <c r="B153" s="5" t="s">
        <v>348</v>
      </c>
      <c r="C153" s="5" t="s">
        <v>284</v>
      </c>
      <c r="D153" s="5" t="s">
        <v>352</v>
      </c>
      <c r="E153" s="5" t="s">
        <v>1480</v>
      </c>
      <c r="F153" s="5" t="s">
        <v>162</v>
      </c>
      <c r="G153" s="5" t="s">
        <v>1411</v>
      </c>
      <c r="H153" s="5" t="s">
        <v>1583</v>
      </c>
      <c r="I153" s="5" t="s">
        <v>1584</v>
      </c>
      <c r="J153" s="5" t="s">
        <v>1585</v>
      </c>
      <c r="K153" s="5" t="s">
        <v>1586</v>
      </c>
      <c r="L153" s="5" t="s">
        <v>1416</v>
      </c>
    </row>
    <row r="154" customFormat="false" ht="22.35" hidden="false" customHeight="false" outlineLevel="0" collapsed="false">
      <c r="A154" s="5" t="s">
        <v>1859</v>
      </c>
      <c r="B154" s="5" t="s">
        <v>355</v>
      </c>
      <c r="C154" s="5" t="s">
        <v>356</v>
      </c>
      <c r="D154" s="5" t="s">
        <v>360</v>
      </c>
      <c r="E154" s="5" t="s">
        <v>1410</v>
      </c>
      <c r="F154" s="5" t="s">
        <v>49</v>
      </c>
      <c r="G154" s="5" t="s">
        <v>1411</v>
      </c>
      <c r="H154" s="5" t="s">
        <v>1860</v>
      </c>
      <c r="I154" s="5" t="s">
        <v>1413</v>
      </c>
      <c r="J154" s="5" t="s">
        <v>1861</v>
      </c>
      <c r="K154" s="5" t="s">
        <v>1415</v>
      </c>
      <c r="L154" s="5" t="s">
        <v>1416</v>
      </c>
    </row>
    <row r="155" customFormat="false" ht="22.35" hidden="false" customHeight="false" outlineLevel="0" collapsed="false">
      <c r="A155" s="5" t="s">
        <v>1862</v>
      </c>
      <c r="B155" s="5" t="s">
        <v>355</v>
      </c>
      <c r="C155" s="5" t="s">
        <v>356</v>
      </c>
      <c r="D155" s="5" t="s">
        <v>360</v>
      </c>
      <c r="E155" s="5" t="s">
        <v>1439</v>
      </c>
      <c r="F155" s="5" t="s">
        <v>49</v>
      </c>
      <c r="G155" s="5" t="s">
        <v>1411</v>
      </c>
      <c r="H155" s="5" t="s">
        <v>1440</v>
      </c>
      <c r="I155" s="5" t="s">
        <v>1441</v>
      </c>
      <c r="J155" s="5" t="s">
        <v>1863</v>
      </c>
      <c r="K155" s="5" t="s">
        <v>1443</v>
      </c>
      <c r="L155" s="5" t="s">
        <v>1416</v>
      </c>
    </row>
    <row r="156" customFormat="false" ht="22.35" hidden="false" customHeight="false" outlineLevel="0" collapsed="false">
      <c r="A156" s="5" t="s">
        <v>1864</v>
      </c>
      <c r="B156" s="5" t="s">
        <v>355</v>
      </c>
      <c r="C156" s="5" t="s">
        <v>356</v>
      </c>
      <c r="D156" s="5" t="s">
        <v>360</v>
      </c>
      <c r="E156" s="5" t="s">
        <v>1418</v>
      </c>
      <c r="F156" s="5" t="s">
        <v>49</v>
      </c>
      <c r="G156" s="5" t="s">
        <v>1411</v>
      </c>
      <c r="H156" s="5" t="s">
        <v>1419</v>
      </c>
      <c r="I156" s="5" t="s">
        <v>1865</v>
      </c>
      <c r="J156" s="5" t="s">
        <v>1866</v>
      </c>
      <c r="K156" s="5" t="s">
        <v>1422</v>
      </c>
      <c r="L156" s="5" t="s">
        <v>1416</v>
      </c>
    </row>
    <row r="157" customFormat="false" ht="22.35" hidden="false" customHeight="false" outlineLevel="0" collapsed="false">
      <c r="A157" s="5" t="s">
        <v>1867</v>
      </c>
      <c r="B157" s="5" t="s">
        <v>355</v>
      </c>
      <c r="C157" s="5" t="s">
        <v>356</v>
      </c>
      <c r="D157" s="5" t="s">
        <v>360</v>
      </c>
      <c r="E157" s="5" t="s">
        <v>1424</v>
      </c>
      <c r="F157" s="5" t="s">
        <v>49</v>
      </c>
      <c r="G157" s="5" t="s">
        <v>1425</v>
      </c>
      <c r="H157" s="5" t="s">
        <v>1868</v>
      </c>
      <c r="I157" s="5" t="s">
        <v>1427</v>
      </c>
      <c r="J157" s="5" t="s">
        <v>1428</v>
      </c>
      <c r="K157" s="5" t="s">
        <v>1429</v>
      </c>
      <c r="L157" s="5" t="s">
        <v>1416</v>
      </c>
    </row>
    <row r="158" customFormat="false" ht="22.35" hidden="false" customHeight="false" outlineLevel="0" collapsed="false">
      <c r="A158" s="5" t="s">
        <v>1869</v>
      </c>
      <c r="B158" s="5" t="s">
        <v>355</v>
      </c>
      <c r="C158" s="5" t="s">
        <v>356</v>
      </c>
      <c r="D158" s="5" t="s">
        <v>360</v>
      </c>
      <c r="E158" s="5" t="s">
        <v>1338</v>
      </c>
      <c r="F158" s="5" t="s">
        <v>49</v>
      </c>
      <c r="G158" s="5" t="s">
        <v>1338</v>
      </c>
      <c r="H158" s="5" t="s">
        <v>1870</v>
      </c>
      <c r="I158" s="5" t="s">
        <v>1432</v>
      </c>
      <c r="J158" s="5" t="s">
        <v>1433</v>
      </c>
      <c r="K158" s="5" t="s">
        <v>1434</v>
      </c>
      <c r="L158" s="5" t="s">
        <v>1416</v>
      </c>
    </row>
    <row r="159" customFormat="false" ht="22.35" hidden="false" customHeight="false" outlineLevel="0" collapsed="false">
      <c r="A159" s="5" t="s">
        <v>1871</v>
      </c>
      <c r="B159" s="5" t="s">
        <v>367</v>
      </c>
      <c r="C159" s="5" t="s">
        <v>356</v>
      </c>
      <c r="D159" s="5" t="s">
        <v>371</v>
      </c>
      <c r="E159" s="5" t="s">
        <v>1410</v>
      </c>
      <c r="F159" s="5" t="s">
        <v>49</v>
      </c>
      <c r="G159" s="5" t="s">
        <v>1411</v>
      </c>
      <c r="H159" s="5" t="s">
        <v>1872</v>
      </c>
      <c r="I159" s="5" t="s">
        <v>1413</v>
      </c>
      <c r="J159" s="5" t="s">
        <v>1873</v>
      </c>
      <c r="K159" s="5" t="s">
        <v>1415</v>
      </c>
      <c r="L159" s="5" t="s">
        <v>1416</v>
      </c>
    </row>
    <row r="160" customFormat="false" ht="22.35" hidden="false" customHeight="false" outlineLevel="0" collapsed="false">
      <c r="A160" s="5" t="s">
        <v>1874</v>
      </c>
      <c r="B160" s="5" t="s">
        <v>367</v>
      </c>
      <c r="C160" s="5" t="s">
        <v>356</v>
      </c>
      <c r="D160" s="5" t="s">
        <v>371</v>
      </c>
      <c r="E160" s="5" t="s">
        <v>1439</v>
      </c>
      <c r="F160" s="5" t="s">
        <v>49</v>
      </c>
      <c r="G160" s="5" t="s">
        <v>1411</v>
      </c>
      <c r="H160" s="5" t="s">
        <v>1875</v>
      </c>
      <c r="I160" s="5" t="s">
        <v>1876</v>
      </c>
      <c r="J160" s="5" t="s">
        <v>1877</v>
      </c>
      <c r="K160" s="5" t="s">
        <v>1878</v>
      </c>
      <c r="L160" s="5" t="s">
        <v>1416</v>
      </c>
    </row>
    <row r="161" customFormat="false" ht="32.8" hidden="false" customHeight="false" outlineLevel="0" collapsed="false">
      <c r="A161" s="5" t="s">
        <v>1879</v>
      </c>
      <c r="B161" s="5" t="s">
        <v>367</v>
      </c>
      <c r="C161" s="5" t="s">
        <v>356</v>
      </c>
      <c r="D161" s="5" t="s">
        <v>371</v>
      </c>
      <c r="E161" s="5" t="s">
        <v>1418</v>
      </c>
      <c r="F161" s="5" t="s">
        <v>49</v>
      </c>
      <c r="G161" s="5" t="s">
        <v>1411</v>
      </c>
      <c r="H161" s="5" t="s">
        <v>1419</v>
      </c>
      <c r="I161" s="5" t="s">
        <v>1880</v>
      </c>
      <c r="J161" s="5" t="s">
        <v>1881</v>
      </c>
      <c r="K161" s="5" t="s">
        <v>1422</v>
      </c>
      <c r="L161" s="5" t="s">
        <v>1416</v>
      </c>
    </row>
    <row r="162" customFormat="false" ht="22.35" hidden="false" customHeight="false" outlineLevel="0" collapsed="false">
      <c r="A162" s="5" t="s">
        <v>1882</v>
      </c>
      <c r="B162" s="5" t="s">
        <v>367</v>
      </c>
      <c r="C162" s="5" t="s">
        <v>356</v>
      </c>
      <c r="D162" s="5" t="s">
        <v>371</v>
      </c>
      <c r="E162" s="5" t="s">
        <v>1424</v>
      </c>
      <c r="F162" s="5" t="s">
        <v>49</v>
      </c>
      <c r="G162" s="5" t="s">
        <v>1425</v>
      </c>
      <c r="H162" s="5" t="s">
        <v>1883</v>
      </c>
      <c r="I162" s="5" t="s">
        <v>1427</v>
      </c>
      <c r="J162" s="5" t="s">
        <v>1428</v>
      </c>
      <c r="K162" s="5" t="s">
        <v>1429</v>
      </c>
      <c r="L162" s="5" t="s">
        <v>1416</v>
      </c>
    </row>
    <row r="163" customFormat="false" ht="22.35" hidden="false" customHeight="false" outlineLevel="0" collapsed="false">
      <c r="A163" s="5" t="s">
        <v>1884</v>
      </c>
      <c r="B163" s="5" t="s">
        <v>367</v>
      </c>
      <c r="C163" s="5" t="s">
        <v>356</v>
      </c>
      <c r="D163" s="5" t="s">
        <v>371</v>
      </c>
      <c r="E163" s="5" t="s">
        <v>1338</v>
      </c>
      <c r="F163" s="5" t="s">
        <v>49</v>
      </c>
      <c r="G163" s="5" t="s">
        <v>1338</v>
      </c>
      <c r="H163" s="5" t="s">
        <v>1885</v>
      </c>
      <c r="I163" s="5" t="s">
        <v>1432</v>
      </c>
      <c r="J163" s="5" t="s">
        <v>1433</v>
      </c>
      <c r="K163" s="5" t="s">
        <v>1434</v>
      </c>
      <c r="L163" s="5" t="s">
        <v>1416</v>
      </c>
    </row>
    <row r="164" customFormat="false" ht="22.35" hidden="false" customHeight="false" outlineLevel="0" collapsed="false">
      <c r="A164" s="5" t="s">
        <v>1886</v>
      </c>
      <c r="B164" s="5" t="s">
        <v>378</v>
      </c>
      <c r="C164" s="5" t="s">
        <v>356</v>
      </c>
      <c r="D164" s="5" t="s">
        <v>381</v>
      </c>
      <c r="E164" s="5" t="s">
        <v>1410</v>
      </c>
      <c r="F164" s="5" t="s">
        <v>49</v>
      </c>
      <c r="G164" s="5" t="s">
        <v>1411</v>
      </c>
      <c r="H164" s="5" t="s">
        <v>1887</v>
      </c>
      <c r="I164" s="5" t="s">
        <v>1413</v>
      </c>
      <c r="J164" s="5" t="s">
        <v>1888</v>
      </c>
      <c r="K164" s="5" t="s">
        <v>1415</v>
      </c>
      <c r="L164" s="5" t="s">
        <v>1416</v>
      </c>
    </row>
    <row r="165" customFormat="false" ht="22.35" hidden="false" customHeight="false" outlineLevel="0" collapsed="false">
      <c r="A165" s="5" t="s">
        <v>1889</v>
      </c>
      <c r="B165" s="5" t="s">
        <v>378</v>
      </c>
      <c r="C165" s="5" t="s">
        <v>356</v>
      </c>
      <c r="D165" s="5" t="s">
        <v>381</v>
      </c>
      <c r="E165" s="5" t="s">
        <v>1439</v>
      </c>
      <c r="F165" s="5" t="s">
        <v>49</v>
      </c>
      <c r="G165" s="5" t="s">
        <v>1411</v>
      </c>
      <c r="H165" s="5" t="s">
        <v>1440</v>
      </c>
      <c r="I165" s="5" t="s">
        <v>1441</v>
      </c>
      <c r="J165" s="5" t="s">
        <v>1890</v>
      </c>
      <c r="K165" s="5" t="s">
        <v>1443</v>
      </c>
      <c r="L165" s="5" t="s">
        <v>1416</v>
      </c>
    </row>
    <row r="166" customFormat="false" ht="22.35" hidden="false" customHeight="false" outlineLevel="0" collapsed="false">
      <c r="A166" s="5" t="s">
        <v>1891</v>
      </c>
      <c r="B166" s="5" t="s">
        <v>378</v>
      </c>
      <c r="C166" s="5" t="s">
        <v>356</v>
      </c>
      <c r="D166" s="5" t="s">
        <v>381</v>
      </c>
      <c r="E166" s="5" t="s">
        <v>1418</v>
      </c>
      <c r="F166" s="5" t="s">
        <v>49</v>
      </c>
      <c r="G166" s="5" t="s">
        <v>1411</v>
      </c>
      <c r="H166" s="5" t="s">
        <v>1419</v>
      </c>
      <c r="I166" s="5" t="s">
        <v>1892</v>
      </c>
      <c r="J166" s="5" t="s">
        <v>1893</v>
      </c>
      <c r="K166" s="5" t="s">
        <v>1422</v>
      </c>
      <c r="L166" s="5" t="s">
        <v>1416</v>
      </c>
    </row>
    <row r="167" customFormat="false" ht="22.35" hidden="false" customHeight="false" outlineLevel="0" collapsed="false">
      <c r="A167" s="5" t="s">
        <v>1894</v>
      </c>
      <c r="B167" s="5" t="s">
        <v>378</v>
      </c>
      <c r="C167" s="5" t="s">
        <v>356</v>
      </c>
      <c r="D167" s="5" t="s">
        <v>381</v>
      </c>
      <c r="E167" s="5" t="s">
        <v>1424</v>
      </c>
      <c r="F167" s="5" t="s">
        <v>49</v>
      </c>
      <c r="G167" s="5" t="s">
        <v>1425</v>
      </c>
      <c r="H167" s="5" t="s">
        <v>1895</v>
      </c>
      <c r="I167" s="5" t="s">
        <v>1427</v>
      </c>
      <c r="J167" s="5" t="s">
        <v>1428</v>
      </c>
      <c r="K167" s="5" t="s">
        <v>1429</v>
      </c>
      <c r="L167" s="5" t="s">
        <v>1416</v>
      </c>
    </row>
    <row r="168" customFormat="false" ht="22.35" hidden="false" customHeight="false" outlineLevel="0" collapsed="false">
      <c r="A168" s="5" t="s">
        <v>1896</v>
      </c>
      <c r="B168" s="5" t="s">
        <v>385</v>
      </c>
      <c r="C168" s="5" t="s">
        <v>356</v>
      </c>
      <c r="D168" s="5" t="s">
        <v>390</v>
      </c>
      <c r="E168" s="5" t="s">
        <v>1410</v>
      </c>
      <c r="F168" s="5" t="s">
        <v>49</v>
      </c>
      <c r="G168" s="5" t="s">
        <v>1411</v>
      </c>
      <c r="H168" s="5" t="s">
        <v>1897</v>
      </c>
      <c r="I168" s="5" t="s">
        <v>1413</v>
      </c>
      <c r="J168" s="5" t="s">
        <v>1898</v>
      </c>
      <c r="K168" s="5" t="s">
        <v>1415</v>
      </c>
      <c r="L168" s="5" t="s">
        <v>1416</v>
      </c>
    </row>
    <row r="169" customFormat="false" ht="22.35" hidden="false" customHeight="false" outlineLevel="0" collapsed="false">
      <c r="A169" s="5" t="s">
        <v>1899</v>
      </c>
      <c r="B169" s="5" t="s">
        <v>385</v>
      </c>
      <c r="C169" s="5" t="s">
        <v>356</v>
      </c>
      <c r="D169" s="5" t="s">
        <v>390</v>
      </c>
      <c r="E169" s="5" t="s">
        <v>1439</v>
      </c>
      <c r="F169" s="5" t="s">
        <v>49</v>
      </c>
      <c r="G169" s="5" t="s">
        <v>1411</v>
      </c>
      <c r="H169" s="5" t="s">
        <v>1875</v>
      </c>
      <c r="I169" s="5" t="s">
        <v>1876</v>
      </c>
      <c r="J169" s="5" t="s">
        <v>1900</v>
      </c>
      <c r="K169" s="5" t="s">
        <v>1878</v>
      </c>
      <c r="L169" s="5" t="s">
        <v>1416</v>
      </c>
    </row>
    <row r="170" customFormat="false" ht="22.35" hidden="false" customHeight="false" outlineLevel="0" collapsed="false">
      <c r="A170" s="5" t="s">
        <v>1901</v>
      </c>
      <c r="B170" s="5" t="s">
        <v>385</v>
      </c>
      <c r="C170" s="5" t="s">
        <v>356</v>
      </c>
      <c r="D170" s="5" t="s">
        <v>390</v>
      </c>
      <c r="E170" s="5" t="s">
        <v>1439</v>
      </c>
      <c r="F170" s="5" t="s">
        <v>49</v>
      </c>
      <c r="G170" s="5" t="s">
        <v>1411</v>
      </c>
      <c r="H170" s="5" t="s">
        <v>1902</v>
      </c>
      <c r="I170" s="5" t="s">
        <v>1903</v>
      </c>
      <c r="J170" s="5" t="s">
        <v>1900</v>
      </c>
      <c r="K170" s="5" t="s">
        <v>1904</v>
      </c>
      <c r="L170" s="5" t="s">
        <v>1416</v>
      </c>
    </row>
    <row r="171" customFormat="false" ht="22.35" hidden="false" customHeight="false" outlineLevel="0" collapsed="false">
      <c r="A171" s="5" t="s">
        <v>1905</v>
      </c>
      <c r="B171" s="5" t="s">
        <v>385</v>
      </c>
      <c r="C171" s="5" t="s">
        <v>356</v>
      </c>
      <c r="D171" s="5" t="s">
        <v>390</v>
      </c>
      <c r="E171" s="5" t="s">
        <v>1439</v>
      </c>
      <c r="F171" s="5" t="s">
        <v>49</v>
      </c>
      <c r="G171" s="5" t="s">
        <v>1411</v>
      </c>
      <c r="H171" s="5" t="s">
        <v>1689</v>
      </c>
      <c r="I171" s="5" t="s">
        <v>1690</v>
      </c>
      <c r="J171" s="5" t="s">
        <v>1900</v>
      </c>
      <c r="K171" s="5" t="s">
        <v>1691</v>
      </c>
      <c r="L171" s="5" t="s">
        <v>1416</v>
      </c>
    </row>
    <row r="172" customFormat="false" ht="32.8" hidden="false" customHeight="false" outlineLevel="0" collapsed="false">
      <c r="A172" s="5" t="s">
        <v>1906</v>
      </c>
      <c r="B172" s="5" t="s">
        <v>385</v>
      </c>
      <c r="C172" s="5" t="s">
        <v>356</v>
      </c>
      <c r="D172" s="5" t="s">
        <v>390</v>
      </c>
      <c r="E172" s="5" t="s">
        <v>1418</v>
      </c>
      <c r="F172" s="5" t="s">
        <v>49</v>
      </c>
      <c r="G172" s="5" t="s">
        <v>1411</v>
      </c>
      <c r="H172" s="5" t="s">
        <v>1419</v>
      </c>
      <c r="I172" s="5" t="s">
        <v>1907</v>
      </c>
      <c r="J172" s="5" t="s">
        <v>1908</v>
      </c>
      <c r="K172" s="5" t="s">
        <v>1422</v>
      </c>
      <c r="L172" s="5" t="s">
        <v>1416</v>
      </c>
    </row>
    <row r="173" customFormat="false" ht="32.8" hidden="false" customHeight="false" outlineLevel="0" collapsed="false">
      <c r="A173" s="5" t="s">
        <v>1909</v>
      </c>
      <c r="B173" s="5" t="s">
        <v>385</v>
      </c>
      <c r="C173" s="5" t="s">
        <v>356</v>
      </c>
      <c r="D173" s="5" t="s">
        <v>390</v>
      </c>
      <c r="E173" s="5" t="s">
        <v>1480</v>
      </c>
      <c r="F173" s="5" t="s">
        <v>49</v>
      </c>
      <c r="G173" s="5" t="s">
        <v>1411</v>
      </c>
      <c r="H173" s="5" t="s">
        <v>1481</v>
      </c>
      <c r="I173" s="5" t="s">
        <v>395</v>
      </c>
      <c r="J173" s="5" t="s">
        <v>1910</v>
      </c>
      <c r="K173" s="5" t="s">
        <v>1483</v>
      </c>
      <c r="L173" s="5" t="s">
        <v>1416</v>
      </c>
    </row>
    <row r="174" customFormat="false" ht="22.35" hidden="false" customHeight="false" outlineLevel="0" collapsed="false">
      <c r="A174" s="5" t="s">
        <v>1911</v>
      </c>
      <c r="B174" s="5" t="s">
        <v>385</v>
      </c>
      <c r="C174" s="5" t="s">
        <v>356</v>
      </c>
      <c r="D174" s="5" t="s">
        <v>390</v>
      </c>
      <c r="E174" s="5" t="s">
        <v>1424</v>
      </c>
      <c r="F174" s="5" t="s">
        <v>49</v>
      </c>
      <c r="G174" s="5" t="s">
        <v>1425</v>
      </c>
      <c r="H174" s="5" t="s">
        <v>1912</v>
      </c>
      <c r="I174" s="5" t="s">
        <v>1427</v>
      </c>
      <c r="J174" s="5" t="s">
        <v>1428</v>
      </c>
      <c r="K174" s="5" t="s">
        <v>1429</v>
      </c>
      <c r="L174" s="5" t="s">
        <v>1416</v>
      </c>
    </row>
    <row r="175" customFormat="false" ht="22.35" hidden="false" customHeight="false" outlineLevel="0" collapsed="false">
      <c r="A175" s="5" t="s">
        <v>1913</v>
      </c>
      <c r="B175" s="5" t="s">
        <v>385</v>
      </c>
      <c r="C175" s="5" t="s">
        <v>356</v>
      </c>
      <c r="D175" s="5" t="s">
        <v>390</v>
      </c>
      <c r="E175" s="5" t="s">
        <v>1338</v>
      </c>
      <c r="F175" s="5" t="s">
        <v>49</v>
      </c>
      <c r="G175" s="5" t="s">
        <v>1338</v>
      </c>
      <c r="H175" s="5" t="s">
        <v>1914</v>
      </c>
      <c r="I175" s="5" t="s">
        <v>1432</v>
      </c>
      <c r="J175" s="5" t="s">
        <v>1433</v>
      </c>
      <c r="K175" s="5" t="s">
        <v>1434</v>
      </c>
      <c r="L175" s="5" t="s">
        <v>1416</v>
      </c>
    </row>
    <row r="176" customFormat="false" ht="22.35" hidden="false" customHeight="false" outlineLevel="0" collapsed="false">
      <c r="A176" s="5" t="s">
        <v>1915</v>
      </c>
      <c r="B176" s="5" t="s">
        <v>399</v>
      </c>
      <c r="C176" s="5" t="s">
        <v>356</v>
      </c>
      <c r="D176" s="5" t="s">
        <v>404</v>
      </c>
      <c r="E176" s="5" t="s">
        <v>1410</v>
      </c>
      <c r="F176" s="5" t="s">
        <v>49</v>
      </c>
      <c r="G176" s="5" t="s">
        <v>1411</v>
      </c>
      <c r="H176" s="5" t="s">
        <v>1916</v>
      </c>
      <c r="I176" s="5" t="s">
        <v>1413</v>
      </c>
      <c r="J176" s="5" t="s">
        <v>1917</v>
      </c>
      <c r="K176" s="5" t="s">
        <v>1415</v>
      </c>
      <c r="L176" s="5" t="s">
        <v>1416</v>
      </c>
    </row>
    <row r="177" customFormat="false" ht="22.35" hidden="false" customHeight="false" outlineLevel="0" collapsed="false">
      <c r="A177" s="5" t="s">
        <v>1918</v>
      </c>
      <c r="B177" s="5" t="s">
        <v>399</v>
      </c>
      <c r="C177" s="5" t="s">
        <v>356</v>
      </c>
      <c r="D177" s="5" t="s">
        <v>404</v>
      </c>
      <c r="E177" s="5" t="s">
        <v>1439</v>
      </c>
      <c r="F177" s="5" t="s">
        <v>49</v>
      </c>
      <c r="G177" s="5" t="s">
        <v>1411</v>
      </c>
      <c r="H177" s="5" t="s">
        <v>1902</v>
      </c>
      <c r="I177" s="5" t="s">
        <v>1903</v>
      </c>
      <c r="J177" s="5" t="s">
        <v>1919</v>
      </c>
      <c r="K177" s="5" t="s">
        <v>1904</v>
      </c>
      <c r="L177" s="5" t="s">
        <v>1416</v>
      </c>
    </row>
    <row r="178" customFormat="false" ht="32.8" hidden="false" customHeight="false" outlineLevel="0" collapsed="false">
      <c r="A178" s="5" t="s">
        <v>1920</v>
      </c>
      <c r="B178" s="5" t="s">
        <v>399</v>
      </c>
      <c r="C178" s="5" t="s">
        <v>356</v>
      </c>
      <c r="D178" s="5" t="s">
        <v>404</v>
      </c>
      <c r="E178" s="5" t="s">
        <v>1418</v>
      </c>
      <c r="F178" s="5" t="s">
        <v>49</v>
      </c>
      <c r="G178" s="5" t="s">
        <v>1411</v>
      </c>
      <c r="H178" s="5" t="s">
        <v>1419</v>
      </c>
      <c r="I178" s="5" t="s">
        <v>1921</v>
      </c>
      <c r="J178" s="5" t="s">
        <v>1922</v>
      </c>
      <c r="K178" s="5" t="s">
        <v>1422</v>
      </c>
      <c r="L178" s="5" t="s">
        <v>1416</v>
      </c>
    </row>
    <row r="179" customFormat="false" ht="32.8" hidden="false" customHeight="false" outlineLevel="0" collapsed="false">
      <c r="A179" s="5" t="s">
        <v>1923</v>
      </c>
      <c r="B179" s="5" t="s">
        <v>399</v>
      </c>
      <c r="C179" s="5" t="s">
        <v>356</v>
      </c>
      <c r="D179" s="5" t="s">
        <v>404</v>
      </c>
      <c r="E179" s="5" t="s">
        <v>1480</v>
      </c>
      <c r="F179" s="5" t="s">
        <v>49</v>
      </c>
      <c r="G179" s="5" t="s">
        <v>1411</v>
      </c>
      <c r="H179" s="5" t="s">
        <v>1481</v>
      </c>
      <c r="I179" s="5" t="s">
        <v>409</v>
      </c>
      <c r="J179" s="5" t="s">
        <v>1924</v>
      </c>
      <c r="K179" s="5" t="s">
        <v>1483</v>
      </c>
      <c r="L179" s="5" t="s">
        <v>1416</v>
      </c>
    </row>
    <row r="180" customFormat="false" ht="22.35" hidden="false" customHeight="false" outlineLevel="0" collapsed="false">
      <c r="A180" s="5" t="s">
        <v>1925</v>
      </c>
      <c r="B180" s="5" t="s">
        <v>399</v>
      </c>
      <c r="C180" s="5" t="s">
        <v>356</v>
      </c>
      <c r="D180" s="5" t="s">
        <v>404</v>
      </c>
      <c r="E180" s="5" t="s">
        <v>1424</v>
      </c>
      <c r="F180" s="5" t="s">
        <v>49</v>
      </c>
      <c r="G180" s="5" t="s">
        <v>1425</v>
      </c>
      <c r="H180" s="5" t="s">
        <v>1926</v>
      </c>
      <c r="I180" s="5" t="s">
        <v>1427</v>
      </c>
      <c r="J180" s="5" t="s">
        <v>1428</v>
      </c>
      <c r="K180" s="5" t="s">
        <v>1429</v>
      </c>
      <c r="L180" s="5" t="s">
        <v>1416</v>
      </c>
    </row>
    <row r="181" customFormat="false" ht="22.35" hidden="false" customHeight="false" outlineLevel="0" collapsed="false">
      <c r="A181" s="5" t="s">
        <v>1927</v>
      </c>
      <c r="B181" s="5" t="s">
        <v>399</v>
      </c>
      <c r="C181" s="5" t="s">
        <v>356</v>
      </c>
      <c r="D181" s="5" t="s">
        <v>404</v>
      </c>
      <c r="E181" s="5" t="s">
        <v>1338</v>
      </c>
      <c r="F181" s="5" t="s">
        <v>49</v>
      </c>
      <c r="G181" s="5" t="s">
        <v>1338</v>
      </c>
      <c r="H181" s="5" t="s">
        <v>1928</v>
      </c>
      <c r="I181" s="5" t="s">
        <v>1432</v>
      </c>
      <c r="J181" s="5" t="s">
        <v>1433</v>
      </c>
      <c r="K181" s="5" t="s">
        <v>1434</v>
      </c>
      <c r="L181" s="5" t="s">
        <v>1416</v>
      </c>
    </row>
    <row r="182" customFormat="false" ht="32.8" hidden="false" customHeight="false" outlineLevel="0" collapsed="false">
      <c r="A182" s="5" t="s">
        <v>1929</v>
      </c>
      <c r="B182" s="5" t="s">
        <v>414</v>
      </c>
      <c r="C182" s="5" t="s">
        <v>356</v>
      </c>
      <c r="D182" s="5" t="s">
        <v>418</v>
      </c>
      <c r="E182" s="5" t="s">
        <v>1410</v>
      </c>
      <c r="F182" s="5" t="s">
        <v>49</v>
      </c>
      <c r="G182" s="5" t="s">
        <v>1411</v>
      </c>
      <c r="H182" s="5" t="s">
        <v>1930</v>
      </c>
      <c r="I182" s="5" t="s">
        <v>1413</v>
      </c>
      <c r="J182" s="5" t="s">
        <v>1931</v>
      </c>
      <c r="K182" s="5" t="s">
        <v>1415</v>
      </c>
      <c r="L182" s="5" t="s">
        <v>1416</v>
      </c>
    </row>
    <row r="183" customFormat="false" ht="32.8" hidden="false" customHeight="false" outlineLevel="0" collapsed="false">
      <c r="A183" s="5" t="s">
        <v>1932</v>
      </c>
      <c r="B183" s="5" t="s">
        <v>414</v>
      </c>
      <c r="C183" s="5" t="s">
        <v>356</v>
      </c>
      <c r="D183" s="5" t="s">
        <v>418</v>
      </c>
      <c r="E183" s="5" t="s">
        <v>1439</v>
      </c>
      <c r="F183" s="5" t="s">
        <v>49</v>
      </c>
      <c r="G183" s="5" t="s">
        <v>1411</v>
      </c>
      <c r="H183" s="5" t="s">
        <v>1875</v>
      </c>
      <c r="I183" s="5" t="s">
        <v>1876</v>
      </c>
      <c r="J183" s="5" t="s">
        <v>1933</v>
      </c>
      <c r="K183" s="5" t="s">
        <v>1878</v>
      </c>
      <c r="L183" s="5" t="s">
        <v>1416</v>
      </c>
    </row>
    <row r="184" customFormat="false" ht="32.8" hidden="false" customHeight="false" outlineLevel="0" collapsed="false">
      <c r="A184" s="5" t="s">
        <v>1934</v>
      </c>
      <c r="B184" s="5" t="s">
        <v>414</v>
      </c>
      <c r="C184" s="5" t="s">
        <v>356</v>
      </c>
      <c r="D184" s="5" t="s">
        <v>418</v>
      </c>
      <c r="E184" s="5" t="s">
        <v>1439</v>
      </c>
      <c r="F184" s="5" t="s">
        <v>49</v>
      </c>
      <c r="G184" s="5" t="s">
        <v>1411</v>
      </c>
      <c r="H184" s="5" t="s">
        <v>1935</v>
      </c>
      <c r="I184" s="5" t="s">
        <v>1936</v>
      </c>
      <c r="J184" s="5" t="s">
        <v>1933</v>
      </c>
      <c r="K184" s="5" t="s">
        <v>1937</v>
      </c>
      <c r="L184" s="5" t="s">
        <v>1416</v>
      </c>
    </row>
    <row r="185" customFormat="false" ht="32.8" hidden="false" customHeight="false" outlineLevel="0" collapsed="false">
      <c r="A185" s="5" t="s">
        <v>1938</v>
      </c>
      <c r="B185" s="5" t="s">
        <v>414</v>
      </c>
      <c r="C185" s="5" t="s">
        <v>356</v>
      </c>
      <c r="D185" s="5" t="s">
        <v>418</v>
      </c>
      <c r="E185" s="5" t="s">
        <v>1439</v>
      </c>
      <c r="F185" s="5" t="s">
        <v>49</v>
      </c>
      <c r="G185" s="5" t="s">
        <v>1411</v>
      </c>
      <c r="H185" s="5" t="s">
        <v>1736</v>
      </c>
      <c r="I185" s="5" t="s">
        <v>1737</v>
      </c>
      <c r="J185" s="5" t="s">
        <v>1933</v>
      </c>
      <c r="K185" s="5" t="s">
        <v>1738</v>
      </c>
      <c r="L185" s="5" t="s">
        <v>1416</v>
      </c>
    </row>
    <row r="186" customFormat="false" ht="32.8" hidden="false" customHeight="false" outlineLevel="0" collapsed="false">
      <c r="A186" s="5" t="s">
        <v>1939</v>
      </c>
      <c r="B186" s="5" t="s">
        <v>414</v>
      </c>
      <c r="C186" s="5" t="s">
        <v>356</v>
      </c>
      <c r="D186" s="5" t="s">
        <v>418</v>
      </c>
      <c r="E186" s="5" t="s">
        <v>1439</v>
      </c>
      <c r="F186" s="5" t="s">
        <v>49</v>
      </c>
      <c r="G186" s="5" t="s">
        <v>1411</v>
      </c>
      <c r="H186" s="5" t="s">
        <v>1656</v>
      </c>
      <c r="I186" s="5" t="s">
        <v>1657</v>
      </c>
      <c r="J186" s="5" t="s">
        <v>1933</v>
      </c>
      <c r="K186" s="5" t="s">
        <v>1658</v>
      </c>
      <c r="L186" s="5" t="s">
        <v>1416</v>
      </c>
    </row>
    <row r="187" customFormat="false" ht="32.8" hidden="false" customHeight="false" outlineLevel="0" collapsed="false">
      <c r="A187" s="5" t="s">
        <v>1940</v>
      </c>
      <c r="B187" s="5" t="s">
        <v>414</v>
      </c>
      <c r="C187" s="5" t="s">
        <v>356</v>
      </c>
      <c r="D187" s="5" t="s">
        <v>418</v>
      </c>
      <c r="E187" s="5" t="s">
        <v>1418</v>
      </c>
      <c r="F187" s="5" t="s">
        <v>49</v>
      </c>
      <c r="G187" s="5" t="s">
        <v>1411</v>
      </c>
      <c r="H187" s="5" t="s">
        <v>1419</v>
      </c>
      <c r="I187" s="5" t="s">
        <v>1941</v>
      </c>
      <c r="J187" s="5" t="s">
        <v>1942</v>
      </c>
      <c r="K187" s="5" t="s">
        <v>1422</v>
      </c>
      <c r="L187" s="5" t="s">
        <v>1416</v>
      </c>
    </row>
    <row r="188" customFormat="false" ht="32.8" hidden="false" customHeight="false" outlineLevel="0" collapsed="false">
      <c r="A188" s="5" t="s">
        <v>1943</v>
      </c>
      <c r="B188" s="5" t="s">
        <v>414</v>
      </c>
      <c r="C188" s="5" t="s">
        <v>356</v>
      </c>
      <c r="D188" s="5" t="s">
        <v>418</v>
      </c>
      <c r="E188" s="5" t="s">
        <v>1480</v>
      </c>
      <c r="F188" s="5" t="s">
        <v>49</v>
      </c>
      <c r="G188" s="5" t="s">
        <v>1411</v>
      </c>
      <c r="H188" s="5" t="s">
        <v>1481</v>
      </c>
      <c r="I188" s="5" t="s">
        <v>423</v>
      </c>
      <c r="J188" s="5" t="s">
        <v>1944</v>
      </c>
      <c r="K188" s="5" t="s">
        <v>1483</v>
      </c>
      <c r="L188" s="5" t="s">
        <v>1416</v>
      </c>
    </row>
    <row r="189" customFormat="false" ht="32.8" hidden="false" customHeight="false" outlineLevel="0" collapsed="false">
      <c r="A189" s="5" t="s">
        <v>1945</v>
      </c>
      <c r="B189" s="5" t="s">
        <v>414</v>
      </c>
      <c r="C189" s="5" t="s">
        <v>356</v>
      </c>
      <c r="D189" s="5" t="s">
        <v>418</v>
      </c>
      <c r="E189" s="5" t="s">
        <v>1424</v>
      </c>
      <c r="F189" s="5" t="s">
        <v>49</v>
      </c>
      <c r="G189" s="5" t="s">
        <v>1425</v>
      </c>
      <c r="H189" s="5" t="s">
        <v>1946</v>
      </c>
      <c r="I189" s="5" t="s">
        <v>1427</v>
      </c>
      <c r="J189" s="5" t="s">
        <v>1428</v>
      </c>
      <c r="K189" s="5" t="s">
        <v>1429</v>
      </c>
      <c r="L189" s="5" t="s">
        <v>1416</v>
      </c>
    </row>
    <row r="190" customFormat="false" ht="32.8" hidden="false" customHeight="false" outlineLevel="0" collapsed="false">
      <c r="A190" s="5" t="s">
        <v>1947</v>
      </c>
      <c r="B190" s="5" t="s">
        <v>414</v>
      </c>
      <c r="C190" s="5" t="s">
        <v>356</v>
      </c>
      <c r="D190" s="5" t="s">
        <v>418</v>
      </c>
      <c r="E190" s="5" t="s">
        <v>1338</v>
      </c>
      <c r="F190" s="5" t="s">
        <v>49</v>
      </c>
      <c r="G190" s="5" t="s">
        <v>1338</v>
      </c>
      <c r="H190" s="5" t="s">
        <v>1948</v>
      </c>
      <c r="I190" s="5" t="s">
        <v>1432</v>
      </c>
      <c r="J190" s="5" t="s">
        <v>1433</v>
      </c>
      <c r="K190" s="5" t="s">
        <v>1434</v>
      </c>
      <c r="L190" s="5" t="s">
        <v>1416</v>
      </c>
    </row>
    <row r="191" customFormat="false" ht="22.35" hidden="false" customHeight="false" outlineLevel="0" collapsed="false">
      <c r="A191" s="5" t="s">
        <v>1949</v>
      </c>
      <c r="B191" s="5" t="s">
        <v>428</v>
      </c>
      <c r="C191" s="5" t="s">
        <v>356</v>
      </c>
      <c r="D191" s="5" t="s">
        <v>432</v>
      </c>
      <c r="E191" s="5" t="s">
        <v>1410</v>
      </c>
      <c r="F191" s="5" t="s">
        <v>162</v>
      </c>
      <c r="G191" s="5" t="s">
        <v>1411</v>
      </c>
      <c r="H191" s="5" t="s">
        <v>1950</v>
      </c>
      <c r="I191" s="5" t="s">
        <v>1413</v>
      </c>
      <c r="J191" s="5" t="s">
        <v>1951</v>
      </c>
      <c r="K191" s="5" t="s">
        <v>1415</v>
      </c>
      <c r="L191" s="5" t="s">
        <v>1416</v>
      </c>
    </row>
    <row r="192" customFormat="false" ht="22.35" hidden="false" customHeight="false" outlineLevel="0" collapsed="false">
      <c r="A192" s="5" t="s">
        <v>1952</v>
      </c>
      <c r="B192" s="5" t="s">
        <v>428</v>
      </c>
      <c r="C192" s="5" t="s">
        <v>356</v>
      </c>
      <c r="D192" s="5" t="s">
        <v>432</v>
      </c>
      <c r="E192" s="5" t="s">
        <v>1439</v>
      </c>
      <c r="F192" s="5" t="s">
        <v>162</v>
      </c>
      <c r="G192" s="5" t="s">
        <v>1411</v>
      </c>
      <c r="H192" s="5" t="s">
        <v>1902</v>
      </c>
      <c r="I192" s="5" t="s">
        <v>1903</v>
      </c>
      <c r="J192" s="5" t="s">
        <v>1953</v>
      </c>
      <c r="K192" s="5" t="s">
        <v>1904</v>
      </c>
      <c r="L192" s="5" t="s">
        <v>1416</v>
      </c>
    </row>
    <row r="193" customFormat="false" ht="32.8" hidden="false" customHeight="false" outlineLevel="0" collapsed="false">
      <c r="A193" s="5" t="s">
        <v>1954</v>
      </c>
      <c r="B193" s="5" t="s">
        <v>428</v>
      </c>
      <c r="C193" s="5" t="s">
        <v>356</v>
      </c>
      <c r="D193" s="5" t="s">
        <v>432</v>
      </c>
      <c r="E193" s="5" t="s">
        <v>1418</v>
      </c>
      <c r="F193" s="5" t="s">
        <v>162</v>
      </c>
      <c r="G193" s="5" t="s">
        <v>1411</v>
      </c>
      <c r="H193" s="5" t="s">
        <v>1419</v>
      </c>
      <c r="I193" s="5" t="s">
        <v>1955</v>
      </c>
      <c r="J193" s="5" t="s">
        <v>1956</v>
      </c>
      <c r="K193" s="5" t="s">
        <v>1422</v>
      </c>
      <c r="L193" s="5" t="s">
        <v>1416</v>
      </c>
    </row>
    <row r="194" customFormat="false" ht="32.8" hidden="false" customHeight="false" outlineLevel="0" collapsed="false">
      <c r="A194" s="5" t="s">
        <v>1957</v>
      </c>
      <c r="B194" s="5" t="s">
        <v>428</v>
      </c>
      <c r="C194" s="5" t="s">
        <v>356</v>
      </c>
      <c r="D194" s="5" t="s">
        <v>432</v>
      </c>
      <c r="E194" s="5" t="s">
        <v>1480</v>
      </c>
      <c r="F194" s="5" t="s">
        <v>162</v>
      </c>
      <c r="G194" s="5" t="s">
        <v>1411</v>
      </c>
      <c r="H194" s="5" t="s">
        <v>1481</v>
      </c>
      <c r="I194" s="5" t="s">
        <v>435</v>
      </c>
      <c r="J194" s="5" t="s">
        <v>1958</v>
      </c>
      <c r="K194" s="5" t="s">
        <v>1483</v>
      </c>
      <c r="L194" s="5" t="s">
        <v>1416</v>
      </c>
    </row>
    <row r="195" customFormat="false" ht="22.35" hidden="false" customHeight="false" outlineLevel="0" collapsed="false">
      <c r="A195" s="5" t="s">
        <v>1959</v>
      </c>
      <c r="B195" s="5" t="s">
        <v>428</v>
      </c>
      <c r="C195" s="5" t="s">
        <v>356</v>
      </c>
      <c r="D195" s="5" t="s">
        <v>432</v>
      </c>
      <c r="E195" s="5" t="s">
        <v>1424</v>
      </c>
      <c r="F195" s="5" t="s">
        <v>162</v>
      </c>
      <c r="G195" s="5" t="s">
        <v>1425</v>
      </c>
      <c r="H195" s="5" t="s">
        <v>1960</v>
      </c>
      <c r="I195" s="5" t="s">
        <v>1427</v>
      </c>
      <c r="J195" s="5" t="s">
        <v>1428</v>
      </c>
      <c r="K195" s="5" t="s">
        <v>1429</v>
      </c>
      <c r="L195" s="5" t="s">
        <v>1416</v>
      </c>
    </row>
    <row r="196" customFormat="false" ht="22.35" hidden="false" customHeight="false" outlineLevel="0" collapsed="false">
      <c r="A196" s="5" t="s">
        <v>1961</v>
      </c>
      <c r="B196" s="5" t="s">
        <v>438</v>
      </c>
      <c r="C196" s="5" t="s">
        <v>356</v>
      </c>
      <c r="D196" s="5" t="s">
        <v>432</v>
      </c>
      <c r="E196" s="5" t="s">
        <v>1410</v>
      </c>
      <c r="F196" s="5" t="s">
        <v>107</v>
      </c>
      <c r="G196" s="5" t="s">
        <v>1411</v>
      </c>
      <c r="H196" s="5" t="s">
        <v>1962</v>
      </c>
      <c r="I196" s="5" t="s">
        <v>1574</v>
      </c>
      <c r="J196" s="5" t="s">
        <v>1575</v>
      </c>
      <c r="K196" s="5" t="s">
        <v>1576</v>
      </c>
      <c r="L196" s="5" t="s">
        <v>1416</v>
      </c>
    </row>
    <row r="197" customFormat="false" ht="15" hidden="false" customHeight="false" outlineLevel="0" collapsed="false">
      <c r="A197" s="5" t="s">
        <v>1963</v>
      </c>
      <c r="B197" s="5" t="s">
        <v>438</v>
      </c>
      <c r="C197" s="5" t="s">
        <v>356</v>
      </c>
      <c r="D197" s="5" t="s">
        <v>432</v>
      </c>
      <c r="E197" s="5" t="s">
        <v>1553</v>
      </c>
      <c r="F197" s="5" t="s">
        <v>107</v>
      </c>
      <c r="G197" s="5" t="s">
        <v>1411</v>
      </c>
      <c r="H197" s="5" t="s">
        <v>1578</v>
      </c>
      <c r="I197" s="5" t="s">
        <v>1579</v>
      </c>
      <c r="J197" s="5" t="s">
        <v>1580</v>
      </c>
      <c r="K197" s="5" t="s">
        <v>1581</v>
      </c>
      <c r="L197" s="5" t="s">
        <v>1416</v>
      </c>
    </row>
    <row r="198" customFormat="false" ht="22.35" hidden="false" customHeight="false" outlineLevel="0" collapsed="false">
      <c r="A198" s="5" t="s">
        <v>1964</v>
      </c>
      <c r="B198" s="5" t="s">
        <v>438</v>
      </c>
      <c r="C198" s="5" t="s">
        <v>356</v>
      </c>
      <c r="D198" s="5" t="s">
        <v>432</v>
      </c>
      <c r="E198" s="5" t="s">
        <v>1480</v>
      </c>
      <c r="F198" s="5" t="s">
        <v>107</v>
      </c>
      <c r="G198" s="5" t="s">
        <v>1411</v>
      </c>
      <c r="H198" s="5" t="s">
        <v>1583</v>
      </c>
      <c r="I198" s="5" t="s">
        <v>1584</v>
      </c>
      <c r="J198" s="5" t="s">
        <v>1585</v>
      </c>
      <c r="K198" s="5" t="s">
        <v>1586</v>
      </c>
      <c r="L198" s="5" t="s">
        <v>1416</v>
      </c>
    </row>
    <row r="199" customFormat="false" ht="22.35" hidden="false" customHeight="false" outlineLevel="0" collapsed="false">
      <c r="A199" s="5" t="s">
        <v>1965</v>
      </c>
      <c r="B199" s="5" t="s">
        <v>448</v>
      </c>
      <c r="C199" s="5" t="s">
        <v>356</v>
      </c>
      <c r="D199" s="5" t="s">
        <v>451</v>
      </c>
      <c r="E199" s="5" t="s">
        <v>1410</v>
      </c>
      <c r="F199" s="5" t="s">
        <v>49</v>
      </c>
      <c r="G199" s="5" t="s">
        <v>1411</v>
      </c>
      <c r="H199" s="5" t="s">
        <v>1966</v>
      </c>
      <c r="I199" s="5" t="s">
        <v>1574</v>
      </c>
      <c r="J199" s="5" t="s">
        <v>1575</v>
      </c>
      <c r="K199" s="5" t="s">
        <v>1576</v>
      </c>
      <c r="L199" s="5" t="s">
        <v>1416</v>
      </c>
    </row>
    <row r="200" customFormat="false" ht="22.35" hidden="false" customHeight="false" outlineLevel="0" collapsed="false">
      <c r="A200" s="5" t="s">
        <v>1967</v>
      </c>
      <c r="B200" s="5" t="s">
        <v>448</v>
      </c>
      <c r="C200" s="5" t="s">
        <v>356</v>
      </c>
      <c r="D200" s="5" t="s">
        <v>451</v>
      </c>
      <c r="E200" s="5" t="s">
        <v>1553</v>
      </c>
      <c r="F200" s="5" t="s">
        <v>49</v>
      </c>
      <c r="G200" s="5" t="s">
        <v>1411</v>
      </c>
      <c r="H200" s="5" t="s">
        <v>1578</v>
      </c>
      <c r="I200" s="5" t="s">
        <v>1579</v>
      </c>
      <c r="J200" s="5" t="s">
        <v>1580</v>
      </c>
      <c r="K200" s="5" t="s">
        <v>1581</v>
      </c>
      <c r="L200" s="5" t="s">
        <v>1416</v>
      </c>
    </row>
    <row r="201" customFormat="false" ht="22.35" hidden="false" customHeight="false" outlineLevel="0" collapsed="false">
      <c r="A201" s="5" t="s">
        <v>1968</v>
      </c>
      <c r="B201" s="5" t="s">
        <v>448</v>
      </c>
      <c r="C201" s="5" t="s">
        <v>356</v>
      </c>
      <c r="D201" s="5" t="s">
        <v>451</v>
      </c>
      <c r="E201" s="5" t="s">
        <v>1480</v>
      </c>
      <c r="F201" s="5" t="s">
        <v>49</v>
      </c>
      <c r="G201" s="5" t="s">
        <v>1411</v>
      </c>
      <c r="H201" s="5" t="s">
        <v>1583</v>
      </c>
      <c r="I201" s="5" t="s">
        <v>1584</v>
      </c>
      <c r="J201" s="5" t="s">
        <v>1585</v>
      </c>
      <c r="K201" s="5" t="s">
        <v>1586</v>
      </c>
      <c r="L201" s="5" t="s">
        <v>1416</v>
      </c>
    </row>
    <row r="202" customFormat="false" ht="22.35" hidden="false" customHeight="false" outlineLevel="0" collapsed="false">
      <c r="A202" s="5" t="s">
        <v>1969</v>
      </c>
      <c r="B202" s="5" t="s">
        <v>457</v>
      </c>
      <c r="C202" s="5" t="s">
        <v>356</v>
      </c>
      <c r="D202" s="5" t="s">
        <v>461</v>
      </c>
      <c r="E202" s="5" t="s">
        <v>1410</v>
      </c>
      <c r="F202" s="5" t="s">
        <v>49</v>
      </c>
      <c r="G202" s="5" t="s">
        <v>1411</v>
      </c>
      <c r="H202" s="5" t="s">
        <v>1970</v>
      </c>
      <c r="I202" s="5" t="s">
        <v>1601</v>
      </c>
      <c r="J202" s="5" t="s">
        <v>1602</v>
      </c>
      <c r="K202" s="5" t="s">
        <v>1603</v>
      </c>
      <c r="L202" s="5" t="s">
        <v>1416</v>
      </c>
    </row>
    <row r="203" customFormat="false" ht="22.35" hidden="false" customHeight="false" outlineLevel="0" collapsed="false">
      <c r="A203" s="5" t="s">
        <v>1971</v>
      </c>
      <c r="B203" s="5" t="s">
        <v>457</v>
      </c>
      <c r="C203" s="5" t="s">
        <v>356</v>
      </c>
      <c r="D203" s="5" t="s">
        <v>461</v>
      </c>
      <c r="E203" s="5" t="s">
        <v>1480</v>
      </c>
      <c r="F203" s="5" t="s">
        <v>49</v>
      </c>
      <c r="G203" s="5" t="s">
        <v>1411</v>
      </c>
      <c r="H203" s="5" t="s">
        <v>1605</v>
      </c>
      <c r="I203" s="5" t="s">
        <v>1606</v>
      </c>
      <c r="J203" s="5" t="s">
        <v>1607</v>
      </c>
      <c r="K203" s="5" t="s">
        <v>1608</v>
      </c>
      <c r="L203" s="5" t="s">
        <v>1416</v>
      </c>
    </row>
    <row r="204" customFormat="false" ht="22.35" hidden="false" customHeight="false" outlineLevel="0" collapsed="false">
      <c r="A204" s="5" t="s">
        <v>1972</v>
      </c>
      <c r="B204" s="5" t="s">
        <v>457</v>
      </c>
      <c r="C204" s="5" t="s">
        <v>356</v>
      </c>
      <c r="D204" s="5" t="s">
        <v>461</v>
      </c>
      <c r="E204" s="5" t="s">
        <v>1439</v>
      </c>
      <c r="F204" s="5" t="s">
        <v>49</v>
      </c>
      <c r="G204" s="5" t="s">
        <v>1411</v>
      </c>
      <c r="H204" s="5" t="s">
        <v>1610</v>
      </c>
      <c r="I204" s="5" t="s">
        <v>1611</v>
      </c>
      <c r="J204" s="5" t="s">
        <v>1612</v>
      </c>
      <c r="K204" s="5" t="s">
        <v>1613</v>
      </c>
      <c r="L204" s="5" t="s">
        <v>1416</v>
      </c>
    </row>
    <row r="205" customFormat="false" ht="22.35" hidden="false" customHeight="false" outlineLevel="0" collapsed="false">
      <c r="A205" s="5" t="s">
        <v>1973</v>
      </c>
      <c r="B205" s="5" t="s">
        <v>457</v>
      </c>
      <c r="C205" s="5" t="s">
        <v>356</v>
      </c>
      <c r="D205" s="5" t="s">
        <v>461</v>
      </c>
      <c r="E205" s="5" t="s">
        <v>1338</v>
      </c>
      <c r="F205" s="5" t="s">
        <v>49</v>
      </c>
      <c r="G205" s="5" t="s">
        <v>1338</v>
      </c>
      <c r="H205" s="5" t="s">
        <v>1974</v>
      </c>
      <c r="I205" s="5" t="s">
        <v>1432</v>
      </c>
      <c r="J205" s="5" t="s">
        <v>1433</v>
      </c>
      <c r="K205" s="5" t="s">
        <v>1434</v>
      </c>
      <c r="L205" s="5" t="s">
        <v>1416</v>
      </c>
    </row>
    <row r="206" customFormat="false" ht="22.35" hidden="false" customHeight="false" outlineLevel="0" collapsed="false">
      <c r="A206" s="5" t="s">
        <v>1975</v>
      </c>
      <c r="B206" s="5" t="s">
        <v>470</v>
      </c>
      <c r="C206" s="5" t="s">
        <v>356</v>
      </c>
      <c r="D206" s="5" t="s">
        <v>474</v>
      </c>
      <c r="E206" s="5" t="s">
        <v>1410</v>
      </c>
      <c r="F206" s="5" t="s">
        <v>107</v>
      </c>
      <c r="G206" s="5" t="s">
        <v>1411</v>
      </c>
      <c r="H206" s="5" t="s">
        <v>1976</v>
      </c>
      <c r="I206" s="5" t="s">
        <v>1413</v>
      </c>
      <c r="J206" s="5" t="s">
        <v>1977</v>
      </c>
      <c r="K206" s="5" t="s">
        <v>1415</v>
      </c>
      <c r="L206" s="5" t="s">
        <v>1416</v>
      </c>
    </row>
    <row r="207" customFormat="false" ht="22.35" hidden="false" customHeight="false" outlineLevel="0" collapsed="false">
      <c r="A207" s="5" t="s">
        <v>1978</v>
      </c>
      <c r="B207" s="5" t="s">
        <v>470</v>
      </c>
      <c r="C207" s="5" t="s">
        <v>356</v>
      </c>
      <c r="D207" s="5" t="s">
        <v>474</v>
      </c>
      <c r="E207" s="5" t="s">
        <v>1439</v>
      </c>
      <c r="F207" s="5" t="s">
        <v>107</v>
      </c>
      <c r="G207" s="5" t="s">
        <v>1411</v>
      </c>
      <c r="H207" s="5" t="s">
        <v>1440</v>
      </c>
      <c r="I207" s="5" t="s">
        <v>1441</v>
      </c>
      <c r="J207" s="5" t="s">
        <v>1979</v>
      </c>
      <c r="K207" s="5" t="s">
        <v>1443</v>
      </c>
      <c r="L207" s="5" t="s">
        <v>1416</v>
      </c>
    </row>
    <row r="208" customFormat="false" ht="22.35" hidden="false" customHeight="false" outlineLevel="0" collapsed="false">
      <c r="A208" s="5" t="s">
        <v>1980</v>
      </c>
      <c r="B208" s="5" t="s">
        <v>470</v>
      </c>
      <c r="C208" s="5" t="s">
        <v>356</v>
      </c>
      <c r="D208" s="5" t="s">
        <v>474</v>
      </c>
      <c r="E208" s="5" t="s">
        <v>1418</v>
      </c>
      <c r="F208" s="5" t="s">
        <v>107</v>
      </c>
      <c r="G208" s="5" t="s">
        <v>1411</v>
      </c>
      <c r="H208" s="5" t="s">
        <v>1419</v>
      </c>
      <c r="I208" s="5" t="s">
        <v>1981</v>
      </c>
      <c r="J208" s="5" t="s">
        <v>1982</v>
      </c>
      <c r="K208" s="5" t="s">
        <v>1422</v>
      </c>
      <c r="L208" s="5" t="s">
        <v>1416</v>
      </c>
    </row>
    <row r="209" customFormat="false" ht="22.35" hidden="false" customHeight="false" outlineLevel="0" collapsed="false">
      <c r="A209" s="5" t="s">
        <v>1983</v>
      </c>
      <c r="B209" s="5" t="s">
        <v>470</v>
      </c>
      <c r="C209" s="5" t="s">
        <v>356</v>
      </c>
      <c r="D209" s="5" t="s">
        <v>474</v>
      </c>
      <c r="E209" s="5" t="s">
        <v>1424</v>
      </c>
      <c r="F209" s="5" t="s">
        <v>107</v>
      </c>
      <c r="G209" s="5" t="s">
        <v>1425</v>
      </c>
      <c r="H209" s="5" t="s">
        <v>1984</v>
      </c>
      <c r="I209" s="5" t="s">
        <v>1427</v>
      </c>
      <c r="J209" s="5" t="s">
        <v>1428</v>
      </c>
      <c r="K209" s="5" t="s">
        <v>1429</v>
      </c>
      <c r="L209" s="5" t="s">
        <v>1416</v>
      </c>
    </row>
    <row r="210" customFormat="false" ht="22.35" hidden="false" customHeight="false" outlineLevel="0" collapsed="false">
      <c r="A210" s="5" t="s">
        <v>1985</v>
      </c>
      <c r="B210" s="5" t="s">
        <v>470</v>
      </c>
      <c r="C210" s="5" t="s">
        <v>356</v>
      </c>
      <c r="D210" s="5" t="s">
        <v>474</v>
      </c>
      <c r="E210" s="5" t="s">
        <v>1338</v>
      </c>
      <c r="F210" s="5" t="s">
        <v>107</v>
      </c>
      <c r="G210" s="5" t="s">
        <v>1338</v>
      </c>
      <c r="H210" s="5" t="s">
        <v>1986</v>
      </c>
      <c r="I210" s="5" t="s">
        <v>1432</v>
      </c>
      <c r="J210" s="5" t="s">
        <v>1433</v>
      </c>
      <c r="K210" s="5" t="s">
        <v>1434</v>
      </c>
      <c r="L210" s="5" t="s">
        <v>1416</v>
      </c>
    </row>
    <row r="211" customFormat="false" ht="22.35" hidden="false" customHeight="false" outlineLevel="0" collapsed="false">
      <c r="A211" s="5" t="s">
        <v>1987</v>
      </c>
      <c r="B211" s="5" t="s">
        <v>478</v>
      </c>
      <c r="C211" s="5" t="s">
        <v>356</v>
      </c>
      <c r="D211" s="5" t="s">
        <v>481</v>
      </c>
      <c r="E211" s="5" t="s">
        <v>1410</v>
      </c>
      <c r="F211" s="5" t="s">
        <v>107</v>
      </c>
      <c r="G211" s="5" t="s">
        <v>1411</v>
      </c>
      <c r="H211" s="5" t="s">
        <v>1988</v>
      </c>
      <c r="I211" s="5" t="s">
        <v>1413</v>
      </c>
      <c r="J211" s="5" t="s">
        <v>1989</v>
      </c>
      <c r="K211" s="5" t="s">
        <v>1415</v>
      </c>
      <c r="L211" s="5" t="s">
        <v>1416</v>
      </c>
    </row>
    <row r="212" customFormat="false" ht="22.35" hidden="false" customHeight="false" outlineLevel="0" collapsed="false">
      <c r="A212" s="5" t="s">
        <v>1990</v>
      </c>
      <c r="B212" s="5" t="s">
        <v>478</v>
      </c>
      <c r="C212" s="5" t="s">
        <v>356</v>
      </c>
      <c r="D212" s="5" t="s">
        <v>481</v>
      </c>
      <c r="E212" s="5" t="s">
        <v>1439</v>
      </c>
      <c r="F212" s="5" t="s">
        <v>107</v>
      </c>
      <c r="G212" s="5" t="s">
        <v>1411</v>
      </c>
      <c r="H212" s="5" t="s">
        <v>1440</v>
      </c>
      <c r="I212" s="5" t="s">
        <v>1441</v>
      </c>
      <c r="J212" s="5" t="s">
        <v>1991</v>
      </c>
      <c r="K212" s="5" t="s">
        <v>1443</v>
      </c>
      <c r="L212" s="5" t="s">
        <v>1416</v>
      </c>
    </row>
    <row r="213" customFormat="false" ht="22.35" hidden="false" customHeight="false" outlineLevel="0" collapsed="false">
      <c r="A213" s="5" t="s">
        <v>1992</v>
      </c>
      <c r="B213" s="5" t="s">
        <v>478</v>
      </c>
      <c r="C213" s="5" t="s">
        <v>356</v>
      </c>
      <c r="D213" s="5" t="s">
        <v>481</v>
      </c>
      <c r="E213" s="5" t="s">
        <v>1439</v>
      </c>
      <c r="F213" s="5" t="s">
        <v>107</v>
      </c>
      <c r="G213" s="5" t="s">
        <v>1411</v>
      </c>
      <c r="H213" s="5" t="s">
        <v>1993</v>
      </c>
      <c r="I213" s="5" t="s">
        <v>1994</v>
      </c>
      <c r="J213" s="5" t="s">
        <v>1991</v>
      </c>
      <c r="K213" s="5" t="s">
        <v>1995</v>
      </c>
      <c r="L213" s="5" t="s">
        <v>1416</v>
      </c>
    </row>
    <row r="214" customFormat="false" ht="32.8" hidden="false" customHeight="false" outlineLevel="0" collapsed="false">
      <c r="A214" s="5" t="s">
        <v>1996</v>
      </c>
      <c r="B214" s="5" t="s">
        <v>478</v>
      </c>
      <c r="C214" s="5" t="s">
        <v>356</v>
      </c>
      <c r="D214" s="5" t="s">
        <v>481</v>
      </c>
      <c r="E214" s="5" t="s">
        <v>1418</v>
      </c>
      <c r="F214" s="5" t="s">
        <v>107</v>
      </c>
      <c r="G214" s="5" t="s">
        <v>1411</v>
      </c>
      <c r="H214" s="5" t="s">
        <v>1419</v>
      </c>
      <c r="I214" s="5" t="s">
        <v>1997</v>
      </c>
      <c r="J214" s="5" t="s">
        <v>1998</v>
      </c>
      <c r="K214" s="5" t="s">
        <v>1422</v>
      </c>
      <c r="L214" s="5" t="s">
        <v>1416</v>
      </c>
    </row>
    <row r="215" customFormat="false" ht="32.8" hidden="false" customHeight="false" outlineLevel="0" collapsed="false">
      <c r="A215" s="5" t="s">
        <v>1999</v>
      </c>
      <c r="B215" s="5" t="s">
        <v>478</v>
      </c>
      <c r="C215" s="5" t="s">
        <v>356</v>
      </c>
      <c r="D215" s="5" t="s">
        <v>481</v>
      </c>
      <c r="E215" s="5" t="s">
        <v>1480</v>
      </c>
      <c r="F215" s="5" t="s">
        <v>107</v>
      </c>
      <c r="G215" s="5" t="s">
        <v>1411</v>
      </c>
      <c r="H215" s="5" t="s">
        <v>1481</v>
      </c>
      <c r="I215" s="5" t="s">
        <v>485</v>
      </c>
      <c r="J215" s="5" t="s">
        <v>2000</v>
      </c>
      <c r="K215" s="5" t="s">
        <v>1483</v>
      </c>
      <c r="L215" s="5" t="s">
        <v>1416</v>
      </c>
    </row>
    <row r="216" customFormat="false" ht="22.35" hidden="false" customHeight="false" outlineLevel="0" collapsed="false">
      <c r="A216" s="5" t="s">
        <v>2001</v>
      </c>
      <c r="B216" s="5" t="s">
        <v>478</v>
      </c>
      <c r="C216" s="5" t="s">
        <v>356</v>
      </c>
      <c r="D216" s="5" t="s">
        <v>481</v>
      </c>
      <c r="E216" s="5" t="s">
        <v>1424</v>
      </c>
      <c r="F216" s="5" t="s">
        <v>107</v>
      </c>
      <c r="G216" s="5" t="s">
        <v>1425</v>
      </c>
      <c r="H216" s="5" t="s">
        <v>2002</v>
      </c>
      <c r="I216" s="5" t="s">
        <v>1427</v>
      </c>
      <c r="J216" s="5" t="s">
        <v>1428</v>
      </c>
      <c r="K216" s="5" t="s">
        <v>1429</v>
      </c>
      <c r="L216" s="5" t="s">
        <v>1416</v>
      </c>
    </row>
    <row r="217" customFormat="false" ht="22.35" hidden="false" customHeight="false" outlineLevel="0" collapsed="false">
      <c r="A217" s="5" t="s">
        <v>2003</v>
      </c>
      <c r="B217" s="5" t="s">
        <v>478</v>
      </c>
      <c r="C217" s="5" t="s">
        <v>356</v>
      </c>
      <c r="D217" s="5" t="s">
        <v>481</v>
      </c>
      <c r="E217" s="5" t="s">
        <v>1338</v>
      </c>
      <c r="F217" s="5" t="s">
        <v>107</v>
      </c>
      <c r="G217" s="5" t="s">
        <v>1338</v>
      </c>
      <c r="H217" s="5" t="s">
        <v>2004</v>
      </c>
      <c r="I217" s="5" t="s">
        <v>1432</v>
      </c>
      <c r="J217" s="5" t="s">
        <v>1433</v>
      </c>
      <c r="K217" s="5" t="s">
        <v>1434</v>
      </c>
      <c r="L217" s="5" t="s">
        <v>1416</v>
      </c>
    </row>
    <row r="218" customFormat="false" ht="22.35" hidden="false" customHeight="false" outlineLevel="0" collapsed="false">
      <c r="A218" s="5" t="s">
        <v>2005</v>
      </c>
      <c r="B218" s="5" t="s">
        <v>488</v>
      </c>
      <c r="C218" s="5" t="s">
        <v>356</v>
      </c>
      <c r="D218" s="5" t="s">
        <v>492</v>
      </c>
      <c r="E218" s="5" t="s">
        <v>1410</v>
      </c>
      <c r="F218" s="5" t="s">
        <v>107</v>
      </c>
      <c r="G218" s="5" t="s">
        <v>1411</v>
      </c>
      <c r="H218" s="5" t="s">
        <v>2006</v>
      </c>
      <c r="I218" s="5" t="s">
        <v>1413</v>
      </c>
      <c r="J218" s="5" t="s">
        <v>2007</v>
      </c>
      <c r="K218" s="5" t="s">
        <v>1415</v>
      </c>
      <c r="L218" s="5" t="s">
        <v>1416</v>
      </c>
    </row>
    <row r="219" customFormat="false" ht="22.35" hidden="false" customHeight="false" outlineLevel="0" collapsed="false">
      <c r="A219" s="5" t="s">
        <v>2008</v>
      </c>
      <c r="B219" s="5" t="s">
        <v>488</v>
      </c>
      <c r="C219" s="5" t="s">
        <v>356</v>
      </c>
      <c r="D219" s="5" t="s">
        <v>492</v>
      </c>
      <c r="E219" s="5" t="s">
        <v>1439</v>
      </c>
      <c r="F219" s="5" t="s">
        <v>107</v>
      </c>
      <c r="G219" s="5" t="s">
        <v>1411</v>
      </c>
      <c r="H219" s="5" t="s">
        <v>2009</v>
      </c>
      <c r="I219" s="5" t="s">
        <v>2010</v>
      </c>
      <c r="J219" s="5" t="s">
        <v>2011</v>
      </c>
      <c r="K219" s="5" t="s">
        <v>2012</v>
      </c>
      <c r="L219" s="5" t="s">
        <v>1416</v>
      </c>
    </row>
    <row r="220" customFormat="false" ht="22.35" hidden="false" customHeight="false" outlineLevel="0" collapsed="false">
      <c r="A220" s="5" t="s">
        <v>2013</v>
      </c>
      <c r="B220" s="5" t="s">
        <v>488</v>
      </c>
      <c r="C220" s="5" t="s">
        <v>356</v>
      </c>
      <c r="D220" s="5" t="s">
        <v>492</v>
      </c>
      <c r="E220" s="5" t="s">
        <v>1439</v>
      </c>
      <c r="F220" s="5" t="s">
        <v>107</v>
      </c>
      <c r="G220" s="5" t="s">
        <v>1411</v>
      </c>
      <c r="H220" s="5" t="s">
        <v>2014</v>
      </c>
      <c r="I220" s="5" t="s">
        <v>2015</v>
      </c>
      <c r="J220" s="5" t="s">
        <v>2011</v>
      </c>
      <c r="K220" s="5" t="s">
        <v>2016</v>
      </c>
      <c r="L220" s="5" t="s">
        <v>1416</v>
      </c>
    </row>
    <row r="221" customFormat="false" ht="22.35" hidden="false" customHeight="false" outlineLevel="0" collapsed="false">
      <c r="A221" s="5" t="s">
        <v>2017</v>
      </c>
      <c r="B221" s="5" t="s">
        <v>488</v>
      </c>
      <c r="C221" s="5" t="s">
        <v>356</v>
      </c>
      <c r="D221" s="5" t="s">
        <v>492</v>
      </c>
      <c r="E221" s="5" t="s">
        <v>1439</v>
      </c>
      <c r="F221" s="5" t="s">
        <v>107</v>
      </c>
      <c r="G221" s="5" t="s">
        <v>1411</v>
      </c>
      <c r="H221" s="5" t="s">
        <v>1656</v>
      </c>
      <c r="I221" s="5" t="s">
        <v>1657</v>
      </c>
      <c r="J221" s="5" t="s">
        <v>2011</v>
      </c>
      <c r="K221" s="5" t="s">
        <v>1658</v>
      </c>
      <c r="L221" s="5" t="s">
        <v>1416</v>
      </c>
    </row>
    <row r="222" customFormat="false" ht="32.8" hidden="false" customHeight="false" outlineLevel="0" collapsed="false">
      <c r="A222" s="5" t="s">
        <v>2018</v>
      </c>
      <c r="B222" s="5" t="s">
        <v>488</v>
      </c>
      <c r="C222" s="5" t="s">
        <v>356</v>
      </c>
      <c r="D222" s="5" t="s">
        <v>492</v>
      </c>
      <c r="E222" s="5" t="s">
        <v>1418</v>
      </c>
      <c r="F222" s="5" t="s">
        <v>107</v>
      </c>
      <c r="G222" s="5" t="s">
        <v>1411</v>
      </c>
      <c r="H222" s="5" t="s">
        <v>1419</v>
      </c>
      <c r="I222" s="5" t="s">
        <v>2019</v>
      </c>
      <c r="J222" s="5" t="s">
        <v>2020</v>
      </c>
      <c r="K222" s="5" t="s">
        <v>1422</v>
      </c>
      <c r="L222" s="5" t="s">
        <v>1416</v>
      </c>
    </row>
    <row r="223" customFormat="false" ht="32.8" hidden="false" customHeight="false" outlineLevel="0" collapsed="false">
      <c r="A223" s="5" t="s">
        <v>2021</v>
      </c>
      <c r="B223" s="5" t="s">
        <v>488</v>
      </c>
      <c r="C223" s="5" t="s">
        <v>356</v>
      </c>
      <c r="D223" s="5" t="s">
        <v>492</v>
      </c>
      <c r="E223" s="5" t="s">
        <v>1480</v>
      </c>
      <c r="F223" s="5" t="s">
        <v>107</v>
      </c>
      <c r="G223" s="5" t="s">
        <v>1411</v>
      </c>
      <c r="H223" s="5" t="s">
        <v>1481</v>
      </c>
      <c r="I223" s="5" t="s">
        <v>498</v>
      </c>
      <c r="J223" s="5" t="s">
        <v>2022</v>
      </c>
      <c r="K223" s="5" t="s">
        <v>1483</v>
      </c>
      <c r="L223" s="5" t="s">
        <v>1416</v>
      </c>
    </row>
    <row r="224" customFormat="false" ht="22.35" hidden="false" customHeight="false" outlineLevel="0" collapsed="false">
      <c r="A224" s="5" t="s">
        <v>2023</v>
      </c>
      <c r="B224" s="5" t="s">
        <v>488</v>
      </c>
      <c r="C224" s="5" t="s">
        <v>356</v>
      </c>
      <c r="D224" s="5" t="s">
        <v>492</v>
      </c>
      <c r="E224" s="5" t="s">
        <v>1424</v>
      </c>
      <c r="F224" s="5" t="s">
        <v>107</v>
      </c>
      <c r="G224" s="5" t="s">
        <v>1425</v>
      </c>
      <c r="H224" s="5" t="s">
        <v>2024</v>
      </c>
      <c r="I224" s="5" t="s">
        <v>1427</v>
      </c>
      <c r="J224" s="5" t="s">
        <v>1428</v>
      </c>
      <c r="K224" s="5" t="s">
        <v>1429</v>
      </c>
      <c r="L224" s="5" t="s">
        <v>1416</v>
      </c>
    </row>
    <row r="225" customFormat="false" ht="22.35" hidden="false" customHeight="false" outlineLevel="0" collapsed="false">
      <c r="A225" s="5" t="s">
        <v>2025</v>
      </c>
      <c r="B225" s="5" t="s">
        <v>488</v>
      </c>
      <c r="C225" s="5" t="s">
        <v>356</v>
      </c>
      <c r="D225" s="5" t="s">
        <v>492</v>
      </c>
      <c r="E225" s="5" t="s">
        <v>1338</v>
      </c>
      <c r="F225" s="5" t="s">
        <v>107</v>
      </c>
      <c r="G225" s="5" t="s">
        <v>1338</v>
      </c>
      <c r="H225" s="5" t="s">
        <v>2026</v>
      </c>
      <c r="I225" s="5" t="s">
        <v>1432</v>
      </c>
      <c r="J225" s="5" t="s">
        <v>1433</v>
      </c>
      <c r="K225" s="5" t="s">
        <v>1434</v>
      </c>
      <c r="L225" s="5" t="s">
        <v>1416</v>
      </c>
    </row>
    <row r="226" customFormat="false" ht="22.35" hidden="false" customHeight="false" outlineLevel="0" collapsed="false">
      <c r="A226" s="5" t="s">
        <v>2027</v>
      </c>
      <c r="B226" s="5" t="s">
        <v>503</v>
      </c>
      <c r="C226" s="5" t="s">
        <v>356</v>
      </c>
      <c r="D226" s="5" t="s">
        <v>507</v>
      </c>
      <c r="E226" s="5" t="s">
        <v>1410</v>
      </c>
      <c r="F226" s="5" t="s">
        <v>49</v>
      </c>
      <c r="G226" s="5" t="s">
        <v>1411</v>
      </c>
      <c r="H226" s="5" t="s">
        <v>2028</v>
      </c>
      <c r="I226" s="5" t="s">
        <v>1601</v>
      </c>
      <c r="J226" s="5" t="s">
        <v>1602</v>
      </c>
      <c r="K226" s="5" t="s">
        <v>1603</v>
      </c>
      <c r="L226" s="5" t="s">
        <v>1416</v>
      </c>
    </row>
    <row r="227" customFormat="false" ht="22.35" hidden="false" customHeight="false" outlineLevel="0" collapsed="false">
      <c r="A227" s="5" t="s">
        <v>2029</v>
      </c>
      <c r="B227" s="5" t="s">
        <v>503</v>
      </c>
      <c r="C227" s="5" t="s">
        <v>356</v>
      </c>
      <c r="D227" s="5" t="s">
        <v>507</v>
      </c>
      <c r="E227" s="5" t="s">
        <v>1480</v>
      </c>
      <c r="F227" s="5" t="s">
        <v>49</v>
      </c>
      <c r="G227" s="5" t="s">
        <v>1411</v>
      </c>
      <c r="H227" s="5" t="s">
        <v>1605</v>
      </c>
      <c r="I227" s="5" t="s">
        <v>1606</v>
      </c>
      <c r="J227" s="5" t="s">
        <v>1607</v>
      </c>
      <c r="K227" s="5" t="s">
        <v>1608</v>
      </c>
      <c r="L227" s="5" t="s">
        <v>1416</v>
      </c>
    </row>
    <row r="228" customFormat="false" ht="22.35" hidden="false" customHeight="false" outlineLevel="0" collapsed="false">
      <c r="A228" s="5" t="s">
        <v>2030</v>
      </c>
      <c r="B228" s="5" t="s">
        <v>503</v>
      </c>
      <c r="C228" s="5" t="s">
        <v>356</v>
      </c>
      <c r="D228" s="5" t="s">
        <v>507</v>
      </c>
      <c r="E228" s="5" t="s">
        <v>1439</v>
      </c>
      <c r="F228" s="5" t="s">
        <v>49</v>
      </c>
      <c r="G228" s="5" t="s">
        <v>1411</v>
      </c>
      <c r="H228" s="5" t="s">
        <v>1610</v>
      </c>
      <c r="I228" s="5" t="s">
        <v>1611</v>
      </c>
      <c r="J228" s="5" t="s">
        <v>1612</v>
      </c>
      <c r="K228" s="5" t="s">
        <v>1613</v>
      </c>
      <c r="L228" s="5" t="s">
        <v>1416</v>
      </c>
    </row>
    <row r="229" customFormat="false" ht="22.35" hidden="false" customHeight="false" outlineLevel="0" collapsed="false">
      <c r="A229" s="5" t="s">
        <v>2031</v>
      </c>
      <c r="B229" s="5" t="s">
        <v>503</v>
      </c>
      <c r="C229" s="5" t="s">
        <v>356</v>
      </c>
      <c r="D229" s="5" t="s">
        <v>507</v>
      </c>
      <c r="E229" s="5" t="s">
        <v>1338</v>
      </c>
      <c r="F229" s="5" t="s">
        <v>49</v>
      </c>
      <c r="G229" s="5" t="s">
        <v>1338</v>
      </c>
      <c r="H229" s="5" t="s">
        <v>2032</v>
      </c>
      <c r="I229" s="5" t="s">
        <v>1432</v>
      </c>
      <c r="J229" s="5" t="s">
        <v>1433</v>
      </c>
      <c r="K229" s="5" t="s">
        <v>1434</v>
      </c>
      <c r="L229" s="5" t="s">
        <v>1416</v>
      </c>
    </row>
    <row r="230" customFormat="false" ht="22.35" hidden="false" customHeight="false" outlineLevel="0" collapsed="false">
      <c r="A230" s="5" t="s">
        <v>2033</v>
      </c>
      <c r="B230" s="5" t="s">
        <v>515</v>
      </c>
      <c r="C230" s="5" t="s">
        <v>516</v>
      </c>
      <c r="D230" s="5" t="s">
        <v>521</v>
      </c>
      <c r="E230" s="5" t="s">
        <v>1410</v>
      </c>
      <c r="F230" s="5" t="s">
        <v>107</v>
      </c>
      <c r="G230" s="5" t="s">
        <v>1411</v>
      </c>
      <c r="H230" s="5" t="s">
        <v>2034</v>
      </c>
      <c r="I230" s="5" t="s">
        <v>1601</v>
      </c>
      <c r="J230" s="5" t="s">
        <v>1602</v>
      </c>
      <c r="K230" s="5" t="s">
        <v>1603</v>
      </c>
      <c r="L230" s="5" t="s">
        <v>1416</v>
      </c>
    </row>
    <row r="231" customFormat="false" ht="22.35" hidden="false" customHeight="false" outlineLevel="0" collapsed="false">
      <c r="A231" s="5" t="s">
        <v>2035</v>
      </c>
      <c r="B231" s="5" t="s">
        <v>515</v>
      </c>
      <c r="C231" s="5" t="s">
        <v>516</v>
      </c>
      <c r="D231" s="5" t="s">
        <v>521</v>
      </c>
      <c r="E231" s="5" t="s">
        <v>1480</v>
      </c>
      <c r="F231" s="5" t="s">
        <v>107</v>
      </c>
      <c r="G231" s="5" t="s">
        <v>1411</v>
      </c>
      <c r="H231" s="5" t="s">
        <v>1605</v>
      </c>
      <c r="I231" s="5" t="s">
        <v>1606</v>
      </c>
      <c r="J231" s="5" t="s">
        <v>1607</v>
      </c>
      <c r="K231" s="5" t="s">
        <v>1608</v>
      </c>
      <c r="L231" s="5" t="s">
        <v>1416</v>
      </c>
    </row>
    <row r="232" customFormat="false" ht="22.35" hidden="false" customHeight="false" outlineLevel="0" collapsed="false">
      <c r="A232" s="5" t="s">
        <v>2036</v>
      </c>
      <c r="B232" s="5" t="s">
        <v>515</v>
      </c>
      <c r="C232" s="5" t="s">
        <v>516</v>
      </c>
      <c r="D232" s="5" t="s">
        <v>521</v>
      </c>
      <c r="E232" s="5" t="s">
        <v>1439</v>
      </c>
      <c r="F232" s="5" t="s">
        <v>107</v>
      </c>
      <c r="G232" s="5" t="s">
        <v>1411</v>
      </c>
      <c r="H232" s="5" t="s">
        <v>1610</v>
      </c>
      <c r="I232" s="5" t="s">
        <v>1611</v>
      </c>
      <c r="J232" s="5" t="s">
        <v>1612</v>
      </c>
      <c r="K232" s="5" t="s">
        <v>1613</v>
      </c>
      <c r="L232" s="5" t="s">
        <v>1416</v>
      </c>
    </row>
    <row r="233" customFormat="false" ht="22.35" hidden="false" customHeight="false" outlineLevel="0" collapsed="false">
      <c r="A233" s="5" t="s">
        <v>2037</v>
      </c>
      <c r="B233" s="5" t="s">
        <v>515</v>
      </c>
      <c r="C233" s="5" t="s">
        <v>516</v>
      </c>
      <c r="D233" s="5" t="s">
        <v>521</v>
      </c>
      <c r="E233" s="5" t="s">
        <v>1338</v>
      </c>
      <c r="F233" s="5" t="s">
        <v>107</v>
      </c>
      <c r="G233" s="5" t="s">
        <v>1338</v>
      </c>
      <c r="H233" s="5" t="s">
        <v>2038</v>
      </c>
      <c r="I233" s="5" t="s">
        <v>1432</v>
      </c>
      <c r="J233" s="5" t="s">
        <v>1433</v>
      </c>
      <c r="K233" s="5" t="s">
        <v>1434</v>
      </c>
      <c r="L233" s="5" t="s">
        <v>1416</v>
      </c>
    </row>
    <row r="234" customFormat="false" ht="22.35" hidden="false" customHeight="false" outlineLevel="0" collapsed="false">
      <c r="A234" s="5" t="s">
        <v>2039</v>
      </c>
      <c r="B234" s="5" t="s">
        <v>530</v>
      </c>
      <c r="C234" s="5" t="s">
        <v>516</v>
      </c>
      <c r="D234" s="5" t="s">
        <v>533</v>
      </c>
      <c r="E234" s="5" t="s">
        <v>1410</v>
      </c>
      <c r="F234" s="5" t="s">
        <v>107</v>
      </c>
      <c r="G234" s="5" t="s">
        <v>1411</v>
      </c>
      <c r="H234" s="5" t="s">
        <v>2040</v>
      </c>
      <c r="I234" s="5" t="s">
        <v>1413</v>
      </c>
      <c r="J234" s="5" t="s">
        <v>2041</v>
      </c>
      <c r="K234" s="5" t="s">
        <v>1415</v>
      </c>
      <c r="L234" s="5" t="s">
        <v>1416</v>
      </c>
    </row>
    <row r="235" customFormat="false" ht="22.35" hidden="false" customHeight="false" outlineLevel="0" collapsed="false">
      <c r="A235" s="5" t="s">
        <v>2042</v>
      </c>
      <c r="B235" s="5" t="s">
        <v>530</v>
      </c>
      <c r="C235" s="5" t="s">
        <v>516</v>
      </c>
      <c r="D235" s="5" t="s">
        <v>533</v>
      </c>
      <c r="E235" s="5" t="s">
        <v>1439</v>
      </c>
      <c r="F235" s="5" t="s">
        <v>107</v>
      </c>
      <c r="G235" s="5" t="s">
        <v>1411</v>
      </c>
      <c r="H235" s="5" t="s">
        <v>1875</v>
      </c>
      <c r="I235" s="5" t="s">
        <v>1876</v>
      </c>
      <c r="J235" s="5" t="s">
        <v>2043</v>
      </c>
      <c r="K235" s="5" t="s">
        <v>1878</v>
      </c>
      <c r="L235" s="5" t="s">
        <v>1416</v>
      </c>
    </row>
    <row r="236" customFormat="false" ht="22.35" hidden="false" customHeight="false" outlineLevel="0" collapsed="false">
      <c r="A236" s="5" t="s">
        <v>2044</v>
      </c>
      <c r="B236" s="5" t="s">
        <v>530</v>
      </c>
      <c r="C236" s="5" t="s">
        <v>516</v>
      </c>
      <c r="D236" s="5" t="s">
        <v>533</v>
      </c>
      <c r="E236" s="5" t="s">
        <v>1439</v>
      </c>
      <c r="F236" s="5" t="s">
        <v>107</v>
      </c>
      <c r="G236" s="5" t="s">
        <v>1411</v>
      </c>
      <c r="H236" s="5" t="s">
        <v>2045</v>
      </c>
      <c r="I236" s="5" t="s">
        <v>2046</v>
      </c>
      <c r="J236" s="5" t="s">
        <v>2043</v>
      </c>
      <c r="K236" s="5" t="s">
        <v>2047</v>
      </c>
      <c r="L236" s="5" t="s">
        <v>1416</v>
      </c>
    </row>
    <row r="237" customFormat="false" ht="32.8" hidden="false" customHeight="false" outlineLevel="0" collapsed="false">
      <c r="A237" s="5" t="s">
        <v>2048</v>
      </c>
      <c r="B237" s="5" t="s">
        <v>530</v>
      </c>
      <c r="C237" s="5" t="s">
        <v>516</v>
      </c>
      <c r="D237" s="5" t="s">
        <v>533</v>
      </c>
      <c r="E237" s="5" t="s">
        <v>1418</v>
      </c>
      <c r="F237" s="5" t="s">
        <v>107</v>
      </c>
      <c r="G237" s="5" t="s">
        <v>1411</v>
      </c>
      <c r="H237" s="5" t="s">
        <v>1419</v>
      </c>
      <c r="I237" s="5" t="s">
        <v>2049</v>
      </c>
      <c r="J237" s="5" t="s">
        <v>2050</v>
      </c>
      <c r="K237" s="5" t="s">
        <v>1422</v>
      </c>
      <c r="L237" s="5" t="s">
        <v>1416</v>
      </c>
    </row>
    <row r="238" customFormat="false" ht="22.35" hidden="false" customHeight="false" outlineLevel="0" collapsed="false">
      <c r="A238" s="5" t="s">
        <v>2051</v>
      </c>
      <c r="B238" s="5" t="s">
        <v>530</v>
      </c>
      <c r="C238" s="5" t="s">
        <v>516</v>
      </c>
      <c r="D238" s="5" t="s">
        <v>533</v>
      </c>
      <c r="E238" s="5" t="s">
        <v>1424</v>
      </c>
      <c r="F238" s="5" t="s">
        <v>107</v>
      </c>
      <c r="G238" s="5" t="s">
        <v>1425</v>
      </c>
      <c r="H238" s="5" t="s">
        <v>2052</v>
      </c>
      <c r="I238" s="5" t="s">
        <v>1427</v>
      </c>
      <c r="J238" s="5" t="s">
        <v>1428</v>
      </c>
      <c r="K238" s="5" t="s">
        <v>1429</v>
      </c>
      <c r="L238" s="5" t="s">
        <v>1416</v>
      </c>
    </row>
    <row r="239" customFormat="false" ht="22.35" hidden="false" customHeight="false" outlineLevel="0" collapsed="false">
      <c r="A239" s="5" t="s">
        <v>2053</v>
      </c>
      <c r="B239" s="5" t="s">
        <v>530</v>
      </c>
      <c r="C239" s="5" t="s">
        <v>516</v>
      </c>
      <c r="D239" s="5" t="s">
        <v>533</v>
      </c>
      <c r="E239" s="5" t="s">
        <v>1338</v>
      </c>
      <c r="F239" s="5" t="s">
        <v>107</v>
      </c>
      <c r="G239" s="5" t="s">
        <v>1338</v>
      </c>
      <c r="H239" s="5" t="s">
        <v>2054</v>
      </c>
      <c r="I239" s="5" t="s">
        <v>1432</v>
      </c>
      <c r="J239" s="5" t="s">
        <v>1433</v>
      </c>
      <c r="K239" s="5" t="s">
        <v>1434</v>
      </c>
      <c r="L239" s="5" t="s">
        <v>1416</v>
      </c>
    </row>
    <row r="240" customFormat="false" ht="15" hidden="false" customHeight="false" outlineLevel="0" collapsed="false">
      <c r="A240" s="5" t="s">
        <v>2055</v>
      </c>
      <c r="B240" s="5" t="s">
        <v>539</v>
      </c>
      <c r="C240" s="5" t="s">
        <v>540</v>
      </c>
      <c r="D240" s="5" t="s">
        <v>544</v>
      </c>
      <c r="E240" s="5" t="s">
        <v>1410</v>
      </c>
      <c r="F240" s="5" t="s">
        <v>49</v>
      </c>
      <c r="G240" s="5" t="s">
        <v>1425</v>
      </c>
      <c r="H240" s="5" t="s">
        <v>2056</v>
      </c>
      <c r="I240" s="5" t="s">
        <v>1549</v>
      </c>
      <c r="J240" s="5" t="s">
        <v>2057</v>
      </c>
      <c r="K240" s="5" t="s">
        <v>2058</v>
      </c>
      <c r="L240" s="5" t="s">
        <v>1416</v>
      </c>
    </row>
    <row r="241" customFormat="false" ht="15" hidden="false" customHeight="false" outlineLevel="0" collapsed="false">
      <c r="A241" s="5" t="s">
        <v>2059</v>
      </c>
      <c r="B241" s="5" t="s">
        <v>539</v>
      </c>
      <c r="C241" s="5" t="s">
        <v>540</v>
      </c>
      <c r="D241" s="5" t="s">
        <v>544</v>
      </c>
      <c r="E241" s="5" t="s">
        <v>1553</v>
      </c>
      <c r="F241" s="5" t="s">
        <v>49</v>
      </c>
      <c r="G241" s="5" t="s">
        <v>1425</v>
      </c>
      <c r="H241" s="5" t="s">
        <v>1554</v>
      </c>
      <c r="I241" s="5" t="s">
        <v>1555</v>
      </c>
      <c r="J241" s="5" t="s">
        <v>2060</v>
      </c>
      <c r="K241" s="5" t="s">
        <v>1557</v>
      </c>
      <c r="L241" s="5" t="s">
        <v>1416</v>
      </c>
    </row>
    <row r="242" customFormat="false" ht="22.35" hidden="false" customHeight="false" outlineLevel="0" collapsed="false">
      <c r="A242" s="5" t="s">
        <v>2061</v>
      </c>
      <c r="B242" s="5" t="s">
        <v>539</v>
      </c>
      <c r="C242" s="5" t="s">
        <v>540</v>
      </c>
      <c r="D242" s="5" t="s">
        <v>544</v>
      </c>
      <c r="E242" s="5" t="s">
        <v>1424</v>
      </c>
      <c r="F242" s="5" t="s">
        <v>49</v>
      </c>
      <c r="G242" s="5" t="s">
        <v>1425</v>
      </c>
      <c r="H242" s="5" t="s">
        <v>2062</v>
      </c>
      <c r="I242" s="5" t="s">
        <v>1560</v>
      </c>
      <c r="J242" s="5" t="s">
        <v>2063</v>
      </c>
      <c r="K242" s="5" t="s">
        <v>2064</v>
      </c>
      <c r="L242" s="5" t="s">
        <v>1416</v>
      </c>
    </row>
    <row r="243" customFormat="false" ht="22.35" hidden="false" customHeight="false" outlineLevel="0" collapsed="false">
      <c r="A243" s="5" t="s">
        <v>2065</v>
      </c>
      <c r="B243" s="5" t="s">
        <v>377</v>
      </c>
      <c r="C243" s="5" t="s">
        <v>540</v>
      </c>
      <c r="D243" s="5" t="s">
        <v>552</v>
      </c>
      <c r="E243" s="5" t="s">
        <v>1410</v>
      </c>
      <c r="F243" s="5" t="s">
        <v>49</v>
      </c>
      <c r="G243" s="5" t="s">
        <v>1425</v>
      </c>
      <c r="H243" s="5" t="s">
        <v>2066</v>
      </c>
      <c r="I243" s="5" t="s">
        <v>1549</v>
      </c>
      <c r="J243" s="5" t="s">
        <v>2067</v>
      </c>
      <c r="K243" s="5" t="s">
        <v>2068</v>
      </c>
      <c r="L243" s="5" t="s">
        <v>1416</v>
      </c>
    </row>
    <row r="244" customFormat="false" ht="22.35" hidden="false" customHeight="false" outlineLevel="0" collapsed="false">
      <c r="A244" s="5" t="s">
        <v>2069</v>
      </c>
      <c r="B244" s="5" t="s">
        <v>377</v>
      </c>
      <c r="C244" s="5" t="s">
        <v>540</v>
      </c>
      <c r="D244" s="5" t="s">
        <v>552</v>
      </c>
      <c r="E244" s="5" t="s">
        <v>1553</v>
      </c>
      <c r="F244" s="5" t="s">
        <v>49</v>
      </c>
      <c r="G244" s="5" t="s">
        <v>1425</v>
      </c>
      <c r="H244" s="5" t="s">
        <v>1554</v>
      </c>
      <c r="I244" s="5" t="s">
        <v>1555</v>
      </c>
      <c r="J244" s="5" t="s">
        <v>2070</v>
      </c>
      <c r="K244" s="5" t="s">
        <v>1557</v>
      </c>
      <c r="L244" s="5" t="s">
        <v>1416</v>
      </c>
    </row>
    <row r="245" customFormat="false" ht="22.35" hidden="false" customHeight="false" outlineLevel="0" collapsed="false">
      <c r="A245" s="5" t="s">
        <v>2071</v>
      </c>
      <c r="B245" s="5" t="s">
        <v>377</v>
      </c>
      <c r="C245" s="5" t="s">
        <v>540</v>
      </c>
      <c r="D245" s="5" t="s">
        <v>552</v>
      </c>
      <c r="E245" s="5" t="s">
        <v>1424</v>
      </c>
      <c r="F245" s="5" t="s">
        <v>49</v>
      </c>
      <c r="G245" s="5" t="s">
        <v>1425</v>
      </c>
      <c r="H245" s="5" t="s">
        <v>2072</v>
      </c>
      <c r="I245" s="5" t="s">
        <v>1560</v>
      </c>
      <c r="J245" s="5" t="s">
        <v>2073</v>
      </c>
      <c r="K245" s="5" t="s">
        <v>2074</v>
      </c>
      <c r="L245" s="5" t="s">
        <v>1416</v>
      </c>
    </row>
    <row r="246" customFormat="false" ht="15" hidden="false" customHeight="false" outlineLevel="0" collapsed="false">
      <c r="A246" s="5" t="s">
        <v>2075</v>
      </c>
      <c r="B246" s="5" t="s">
        <v>559</v>
      </c>
      <c r="C246" s="5" t="s">
        <v>540</v>
      </c>
      <c r="D246" s="5" t="s">
        <v>563</v>
      </c>
      <c r="E246" s="5" t="s">
        <v>1410</v>
      </c>
      <c r="F246" s="5" t="s">
        <v>49</v>
      </c>
      <c r="G246" s="5" t="s">
        <v>1425</v>
      </c>
      <c r="H246" s="5" t="s">
        <v>2076</v>
      </c>
      <c r="I246" s="5" t="s">
        <v>1549</v>
      </c>
      <c r="J246" s="5" t="s">
        <v>2077</v>
      </c>
      <c r="K246" s="5" t="s">
        <v>2078</v>
      </c>
      <c r="L246" s="5" t="s">
        <v>1416</v>
      </c>
    </row>
    <row r="247" customFormat="false" ht="22.35" hidden="false" customHeight="false" outlineLevel="0" collapsed="false">
      <c r="A247" s="5" t="s">
        <v>2079</v>
      </c>
      <c r="B247" s="5" t="s">
        <v>559</v>
      </c>
      <c r="C247" s="5" t="s">
        <v>540</v>
      </c>
      <c r="D247" s="5" t="s">
        <v>563</v>
      </c>
      <c r="E247" s="5" t="s">
        <v>1553</v>
      </c>
      <c r="F247" s="5" t="s">
        <v>49</v>
      </c>
      <c r="G247" s="5" t="s">
        <v>1425</v>
      </c>
      <c r="H247" s="5" t="s">
        <v>1554</v>
      </c>
      <c r="I247" s="5" t="s">
        <v>1555</v>
      </c>
      <c r="J247" s="5" t="s">
        <v>2080</v>
      </c>
      <c r="K247" s="5" t="s">
        <v>1557</v>
      </c>
      <c r="L247" s="5" t="s">
        <v>1416</v>
      </c>
    </row>
    <row r="248" customFormat="false" ht="22.35" hidden="false" customHeight="false" outlineLevel="0" collapsed="false">
      <c r="A248" s="5" t="s">
        <v>2081</v>
      </c>
      <c r="B248" s="5" t="s">
        <v>559</v>
      </c>
      <c r="C248" s="5" t="s">
        <v>540</v>
      </c>
      <c r="D248" s="5" t="s">
        <v>563</v>
      </c>
      <c r="E248" s="5" t="s">
        <v>1424</v>
      </c>
      <c r="F248" s="5" t="s">
        <v>49</v>
      </c>
      <c r="G248" s="5" t="s">
        <v>1425</v>
      </c>
      <c r="H248" s="5" t="s">
        <v>2082</v>
      </c>
      <c r="I248" s="5" t="s">
        <v>1560</v>
      </c>
      <c r="J248" s="5" t="s">
        <v>2083</v>
      </c>
      <c r="K248" s="5" t="s">
        <v>2084</v>
      </c>
      <c r="L248" s="5" t="s">
        <v>1416</v>
      </c>
    </row>
    <row r="249" customFormat="false" ht="22.35" hidden="false" customHeight="false" outlineLevel="0" collapsed="false">
      <c r="A249" s="5" t="s">
        <v>2085</v>
      </c>
      <c r="B249" s="5" t="s">
        <v>558</v>
      </c>
      <c r="C249" s="5" t="s">
        <v>540</v>
      </c>
      <c r="D249" s="5" t="s">
        <v>572</v>
      </c>
      <c r="E249" s="5" t="s">
        <v>1410</v>
      </c>
      <c r="F249" s="5" t="s">
        <v>49</v>
      </c>
      <c r="G249" s="5" t="s">
        <v>1411</v>
      </c>
      <c r="H249" s="5" t="s">
        <v>2086</v>
      </c>
      <c r="I249" s="5" t="s">
        <v>1574</v>
      </c>
      <c r="J249" s="5" t="s">
        <v>1575</v>
      </c>
      <c r="K249" s="5" t="s">
        <v>1576</v>
      </c>
      <c r="L249" s="5" t="s">
        <v>1416</v>
      </c>
    </row>
    <row r="250" customFormat="false" ht="15" hidden="false" customHeight="false" outlineLevel="0" collapsed="false">
      <c r="A250" s="5" t="s">
        <v>2087</v>
      </c>
      <c r="B250" s="5" t="s">
        <v>558</v>
      </c>
      <c r="C250" s="5" t="s">
        <v>540</v>
      </c>
      <c r="D250" s="5" t="s">
        <v>572</v>
      </c>
      <c r="E250" s="5" t="s">
        <v>1553</v>
      </c>
      <c r="F250" s="5" t="s">
        <v>49</v>
      </c>
      <c r="G250" s="5" t="s">
        <v>1411</v>
      </c>
      <c r="H250" s="5" t="s">
        <v>1578</v>
      </c>
      <c r="I250" s="5" t="s">
        <v>1579</v>
      </c>
      <c r="J250" s="5" t="s">
        <v>1580</v>
      </c>
      <c r="K250" s="5" t="s">
        <v>1581</v>
      </c>
      <c r="L250" s="5" t="s">
        <v>1416</v>
      </c>
    </row>
    <row r="251" customFormat="false" ht="22.35" hidden="false" customHeight="false" outlineLevel="0" collapsed="false">
      <c r="A251" s="5" t="s">
        <v>2088</v>
      </c>
      <c r="B251" s="5" t="s">
        <v>558</v>
      </c>
      <c r="C251" s="5" t="s">
        <v>540</v>
      </c>
      <c r="D251" s="5" t="s">
        <v>572</v>
      </c>
      <c r="E251" s="5" t="s">
        <v>1480</v>
      </c>
      <c r="F251" s="5" t="s">
        <v>49</v>
      </c>
      <c r="G251" s="5" t="s">
        <v>1411</v>
      </c>
      <c r="H251" s="5" t="s">
        <v>1583</v>
      </c>
      <c r="I251" s="5" t="s">
        <v>1584</v>
      </c>
      <c r="J251" s="5" t="s">
        <v>1585</v>
      </c>
      <c r="K251" s="5" t="s">
        <v>1586</v>
      </c>
      <c r="L251" s="5" t="s">
        <v>1416</v>
      </c>
    </row>
    <row r="252" customFormat="false" ht="22.35" hidden="false" customHeight="false" outlineLevel="0" collapsed="false">
      <c r="A252" s="5" t="s">
        <v>2089</v>
      </c>
      <c r="B252" s="5" t="s">
        <v>579</v>
      </c>
      <c r="C252" s="5" t="s">
        <v>540</v>
      </c>
      <c r="D252" s="5" t="s">
        <v>583</v>
      </c>
      <c r="E252" s="5" t="s">
        <v>1410</v>
      </c>
      <c r="F252" s="5" t="s">
        <v>49</v>
      </c>
      <c r="G252" s="5" t="s">
        <v>1411</v>
      </c>
      <c r="H252" s="5" t="s">
        <v>2090</v>
      </c>
      <c r="I252" s="5" t="s">
        <v>1574</v>
      </c>
      <c r="J252" s="5" t="s">
        <v>1575</v>
      </c>
      <c r="K252" s="5" t="s">
        <v>1576</v>
      </c>
      <c r="L252" s="5" t="s">
        <v>1416</v>
      </c>
    </row>
    <row r="253" customFormat="false" ht="15" hidden="false" customHeight="false" outlineLevel="0" collapsed="false">
      <c r="A253" s="5" t="s">
        <v>2091</v>
      </c>
      <c r="B253" s="5" t="s">
        <v>579</v>
      </c>
      <c r="C253" s="5" t="s">
        <v>540</v>
      </c>
      <c r="D253" s="5" t="s">
        <v>583</v>
      </c>
      <c r="E253" s="5" t="s">
        <v>1553</v>
      </c>
      <c r="F253" s="5" t="s">
        <v>49</v>
      </c>
      <c r="G253" s="5" t="s">
        <v>1411</v>
      </c>
      <c r="H253" s="5" t="s">
        <v>1578</v>
      </c>
      <c r="I253" s="5" t="s">
        <v>1579</v>
      </c>
      <c r="J253" s="5" t="s">
        <v>1580</v>
      </c>
      <c r="K253" s="5" t="s">
        <v>1581</v>
      </c>
      <c r="L253" s="5" t="s">
        <v>1416</v>
      </c>
    </row>
    <row r="254" customFormat="false" ht="22.35" hidden="false" customHeight="false" outlineLevel="0" collapsed="false">
      <c r="A254" s="5" t="s">
        <v>2092</v>
      </c>
      <c r="B254" s="5" t="s">
        <v>579</v>
      </c>
      <c r="C254" s="5" t="s">
        <v>540</v>
      </c>
      <c r="D254" s="5" t="s">
        <v>583</v>
      </c>
      <c r="E254" s="5" t="s">
        <v>1480</v>
      </c>
      <c r="F254" s="5" t="s">
        <v>49</v>
      </c>
      <c r="G254" s="5" t="s">
        <v>1411</v>
      </c>
      <c r="H254" s="5" t="s">
        <v>1583</v>
      </c>
      <c r="I254" s="5" t="s">
        <v>1584</v>
      </c>
      <c r="J254" s="5" t="s">
        <v>1585</v>
      </c>
      <c r="K254" s="5" t="s">
        <v>1586</v>
      </c>
      <c r="L254" s="5" t="s">
        <v>1416</v>
      </c>
    </row>
    <row r="255" customFormat="false" ht="22.35" hidden="false" customHeight="false" outlineLevel="0" collapsed="false">
      <c r="A255" s="5" t="s">
        <v>2093</v>
      </c>
      <c r="B255" s="5" t="s">
        <v>591</v>
      </c>
      <c r="C255" s="5" t="s">
        <v>540</v>
      </c>
      <c r="D255" s="5" t="s">
        <v>596</v>
      </c>
      <c r="E255" s="5" t="s">
        <v>1410</v>
      </c>
      <c r="F255" s="5" t="s">
        <v>107</v>
      </c>
      <c r="G255" s="5" t="s">
        <v>1411</v>
      </c>
      <c r="H255" s="5" t="s">
        <v>2094</v>
      </c>
      <c r="I255" s="5" t="s">
        <v>1601</v>
      </c>
      <c r="J255" s="5" t="s">
        <v>1602</v>
      </c>
      <c r="K255" s="5" t="s">
        <v>1603</v>
      </c>
      <c r="L255" s="5" t="s">
        <v>1416</v>
      </c>
    </row>
    <row r="256" customFormat="false" ht="22.35" hidden="false" customHeight="false" outlineLevel="0" collapsed="false">
      <c r="A256" s="5" t="s">
        <v>2095</v>
      </c>
      <c r="B256" s="5" t="s">
        <v>591</v>
      </c>
      <c r="C256" s="5" t="s">
        <v>540</v>
      </c>
      <c r="D256" s="5" t="s">
        <v>596</v>
      </c>
      <c r="E256" s="5" t="s">
        <v>1480</v>
      </c>
      <c r="F256" s="5" t="s">
        <v>107</v>
      </c>
      <c r="G256" s="5" t="s">
        <v>1411</v>
      </c>
      <c r="H256" s="5" t="s">
        <v>1605</v>
      </c>
      <c r="I256" s="5" t="s">
        <v>1606</v>
      </c>
      <c r="J256" s="5" t="s">
        <v>1607</v>
      </c>
      <c r="K256" s="5" t="s">
        <v>1608</v>
      </c>
      <c r="L256" s="5" t="s">
        <v>1416</v>
      </c>
    </row>
    <row r="257" customFormat="false" ht="22.35" hidden="false" customHeight="false" outlineLevel="0" collapsed="false">
      <c r="A257" s="5" t="s">
        <v>2096</v>
      </c>
      <c r="B257" s="5" t="s">
        <v>591</v>
      </c>
      <c r="C257" s="5" t="s">
        <v>540</v>
      </c>
      <c r="D257" s="5" t="s">
        <v>596</v>
      </c>
      <c r="E257" s="5" t="s">
        <v>1439</v>
      </c>
      <c r="F257" s="5" t="s">
        <v>107</v>
      </c>
      <c r="G257" s="5" t="s">
        <v>1411</v>
      </c>
      <c r="H257" s="5" t="s">
        <v>1610</v>
      </c>
      <c r="I257" s="5" t="s">
        <v>1611</v>
      </c>
      <c r="J257" s="5" t="s">
        <v>1612</v>
      </c>
      <c r="K257" s="5" t="s">
        <v>1613</v>
      </c>
      <c r="L257" s="5" t="s">
        <v>1416</v>
      </c>
    </row>
    <row r="258" customFormat="false" ht="22.35" hidden="false" customHeight="false" outlineLevel="0" collapsed="false">
      <c r="A258" s="5" t="s">
        <v>2097</v>
      </c>
      <c r="B258" s="5" t="s">
        <v>591</v>
      </c>
      <c r="C258" s="5" t="s">
        <v>540</v>
      </c>
      <c r="D258" s="5" t="s">
        <v>596</v>
      </c>
      <c r="E258" s="5" t="s">
        <v>1338</v>
      </c>
      <c r="F258" s="5" t="s">
        <v>107</v>
      </c>
      <c r="G258" s="5" t="s">
        <v>1338</v>
      </c>
      <c r="H258" s="5" t="s">
        <v>2098</v>
      </c>
      <c r="I258" s="5" t="s">
        <v>1432</v>
      </c>
      <c r="J258" s="5" t="s">
        <v>1433</v>
      </c>
      <c r="K258" s="5" t="s">
        <v>1434</v>
      </c>
      <c r="L258" s="5" t="s">
        <v>1416</v>
      </c>
    </row>
    <row r="259" customFormat="false" ht="22.35" hidden="false" customHeight="false" outlineLevel="0" collapsed="false">
      <c r="A259" s="5" t="s">
        <v>2099</v>
      </c>
      <c r="B259" s="5" t="s">
        <v>604</v>
      </c>
      <c r="C259" s="5" t="s">
        <v>356</v>
      </c>
      <c r="D259" s="5" t="s">
        <v>610</v>
      </c>
      <c r="E259" s="5" t="s">
        <v>1410</v>
      </c>
      <c r="F259" s="5" t="s">
        <v>107</v>
      </c>
      <c r="G259" s="5" t="s">
        <v>1411</v>
      </c>
      <c r="H259" s="5" t="s">
        <v>2100</v>
      </c>
      <c r="I259" s="5" t="s">
        <v>1413</v>
      </c>
      <c r="J259" s="5" t="s">
        <v>2101</v>
      </c>
      <c r="K259" s="5" t="s">
        <v>1415</v>
      </c>
      <c r="L259" s="5" t="s">
        <v>1416</v>
      </c>
    </row>
    <row r="260" customFormat="false" ht="22.35" hidden="false" customHeight="false" outlineLevel="0" collapsed="false">
      <c r="A260" s="5" t="s">
        <v>2102</v>
      </c>
      <c r="B260" s="5" t="s">
        <v>604</v>
      </c>
      <c r="C260" s="5" t="s">
        <v>356</v>
      </c>
      <c r="D260" s="5" t="s">
        <v>610</v>
      </c>
      <c r="E260" s="5" t="s">
        <v>1439</v>
      </c>
      <c r="F260" s="5" t="s">
        <v>107</v>
      </c>
      <c r="G260" s="5" t="s">
        <v>1411</v>
      </c>
      <c r="H260" s="5" t="s">
        <v>1875</v>
      </c>
      <c r="I260" s="5" t="s">
        <v>1876</v>
      </c>
      <c r="J260" s="5" t="s">
        <v>2103</v>
      </c>
      <c r="K260" s="5" t="s">
        <v>1878</v>
      </c>
      <c r="L260" s="5" t="s">
        <v>1416</v>
      </c>
    </row>
    <row r="261" customFormat="false" ht="22.35" hidden="false" customHeight="false" outlineLevel="0" collapsed="false">
      <c r="A261" s="5" t="s">
        <v>2104</v>
      </c>
      <c r="B261" s="5" t="s">
        <v>604</v>
      </c>
      <c r="C261" s="5" t="s">
        <v>356</v>
      </c>
      <c r="D261" s="5" t="s">
        <v>610</v>
      </c>
      <c r="E261" s="5" t="s">
        <v>1338</v>
      </c>
      <c r="F261" s="5" t="s">
        <v>107</v>
      </c>
      <c r="G261" s="5" t="s">
        <v>1338</v>
      </c>
      <c r="H261" s="5" t="s">
        <v>2105</v>
      </c>
      <c r="I261" s="5" t="s">
        <v>1432</v>
      </c>
      <c r="J261" s="5" t="s">
        <v>1433</v>
      </c>
      <c r="K261" s="5" t="s">
        <v>1434</v>
      </c>
      <c r="L261" s="5" t="s">
        <v>1416</v>
      </c>
    </row>
    <row r="262" customFormat="false" ht="22.35" hidden="false" customHeight="false" outlineLevel="0" collapsed="false">
      <c r="A262" s="5" t="s">
        <v>2106</v>
      </c>
      <c r="B262" s="5" t="s">
        <v>181</v>
      </c>
      <c r="C262" s="5" t="s">
        <v>540</v>
      </c>
      <c r="D262" s="5" t="s">
        <v>618</v>
      </c>
      <c r="E262" s="5" t="s">
        <v>1410</v>
      </c>
      <c r="F262" s="5" t="s">
        <v>107</v>
      </c>
      <c r="G262" s="5" t="s">
        <v>1411</v>
      </c>
      <c r="H262" s="5" t="s">
        <v>2107</v>
      </c>
      <c r="I262" s="5" t="s">
        <v>1574</v>
      </c>
      <c r="J262" s="5" t="s">
        <v>1575</v>
      </c>
      <c r="K262" s="5" t="s">
        <v>1576</v>
      </c>
      <c r="L262" s="5" t="s">
        <v>1416</v>
      </c>
    </row>
    <row r="263" customFormat="false" ht="15" hidden="false" customHeight="false" outlineLevel="0" collapsed="false">
      <c r="A263" s="5" t="s">
        <v>2108</v>
      </c>
      <c r="B263" s="5" t="s">
        <v>181</v>
      </c>
      <c r="C263" s="5" t="s">
        <v>540</v>
      </c>
      <c r="D263" s="5" t="s">
        <v>618</v>
      </c>
      <c r="E263" s="5" t="s">
        <v>1553</v>
      </c>
      <c r="F263" s="5" t="s">
        <v>107</v>
      </c>
      <c r="G263" s="5" t="s">
        <v>1411</v>
      </c>
      <c r="H263" s="5" t="s">
        <v>1578</v>
      </c>
      <c r="I263" s="5" t="s">
        <v>1579</v>
      </c>
      <c r="J263" s="5" t="s">
        <v>1580</v>
      </c>
      <c r="K263" s="5" t="s">
        <v>1581</v>
      </c>
      <c r="L263" s="5" t="s">
        <v>1416</v>
      </c>
    </row>
    <row r="264" customFormat="false" ht="22.35" hidden="false" customHeight="false" outlineLevel="0" collapsed="false">
      <c r="A264" s="5" t="s">
        <v>2109</v>
      </c>
      <c r="B264" s="5" t="s">
        <v>181</v>
      </c>
      <c r="C264" s="5" t="s">
        <v>540</v>
      </c>
      <c r="D264" s="5" t="s">
        <v>618</v>
      </c>
      <c r="E264" s="5" t="s">
        <v>1480</v>
      </c>
      <c r="F264" s="5" t="s">
        <v>107</v>
      </c>
      <c r="G264" s="5" t="s">
        <v>1411</v>
      </c>
      <c r="H264" s="5" t="s">
        <v>1583</v>
      </c>
      <c r="I264" s="5" t="s">
        <v>1584</v>
      </c>
      <c r="J264" s="5" t="s">
        <v>1585</v>
      </c>
      <c r="K264" s="5" t="s">
        <v>1586</v>
      </c>
      <c r="L264" s="5" t="s">
        <v>1416</v>
      </c>
    </row>
    <row r="265" customFormat="false" ht="22.35" hidden="false" customHeight="false" outlineLevel="0" collapsed="false">
      <c r="A265" s="5" t="s">
        <v>2110</v>
      </c>
      <c r="B265" s="5" t="s">
        <v>622</v>
      </c>
      <c r="C265" s="5" t="s">
        <v>356</v>
      </c>
      <c r="D265" s="5" t="s">
        <v>626</v>
      </c>
      <c r="E265" s="5" t="s">
        <v>1410</v>
      </c>
      <c r="F265" s="5" t="s">
        <v>162</v>
      </c>
      <c r="G265" s="5" t="s">
        <v>1411</v>
      </c>
      <c r="H265" s="5" t="s">
        <v>2111</v>
      </c>
      <c r="I265" s="5" t="s">
        <v>1574</v>
      </c>
      <c r="J265" s="5" t="s">
        <v>1575</v>
      </c>
      <c r="K265" s="5" t="s">
        <v>1576</v>
      </c>
      <c r="L265" s="5" t="s">
        <v>1416</v>
      </c>
    </row>
    <row r="266" customFormat="false" ht="15" hidden="false" customHeight="false" outlineLevel="0" collapsed="false">
      <c r="A266" s="5" t="s">
        <v>2112</v>
      </c>
      <c r="B266" s="5" t="s">
        <v>622</v>
      </c>
      <c r="C266" s="5" t="s">
        <v>356</v>
      </c>
      <c r="D266" s="5" t="s">
        <v>626</v>
      </c>
      <c r="E266" s="5" t="s">
        <v>1553</v>
      </c>
      <c r="F266" s="5" t="s">
        <v>162</v>
      </c>
      <c r="G266" s="5" t="s">
        <v>1411</v>
      </c>
      <c r="H266" s="5" t="s">
        <v>1578</v>
      </c>
      <c r="I266" s="5" t="s">
        <v>1579</v>
      </c>
      <c r="J266" s="5" t="s">
        <v>1580</v>
      </c>
      <c r="K266" s="5" t="s">
        <v>1581</v>
      </c>
      <c r="L266" s="5" t="s">
        <v>1416</v>
      </c>
    </row>
    <row r="267" customFormat="false" ht="22.35" hidden="false" customHeight="false" outlineLevel="0" collapsed="false">
      <c r="A267" s="5" t="s">
        <v>2113</v>
      </c>
      <c r="B267" s="5" t="s">
        <v>622</v>
      </c>
      <c r="C267" s="5" t="s">
        <v>356</v>
      </c>
      <c r="D267" s="5" t="s">
        <v>626</v>
      </c>
      <c r="E267" s="5" t="s">
        <v>1480</v>
      </c>
      <c r="F267" s="5" t="s">
        <v>162</v>
      </c>
      <c r="G267" s="5" t="s">
        <v>1411</v>
      </c>
      <c r="H267" s="5" t="s">
        <v>1583</v>
      </c>
      <c r="I267" s="5" t="s">
        <v>1584</v>
      </c>
      <c r="J267" s="5" t="s">
        <v>1585</v>
      </c>
      <c r="K267" s="5" t="s">
        <v>1586</v>
      </c>
      <c r="L267" s="5" t="s">
        <v>1416</v>
      </c>
    </row>
    <row r="268" customFormat="false" ht="15" hidden="false" customHeight="false" outlineLevel="0" collapsed="false">
      <c r="A268" s="5" t="s">
        <v>2114</v>
      </c>
      <c r="B268" s="5" t="s">
        <v>60</v>
      </c>
      <c r="C268" s="5" t="s">
        <v>540</v>
      </c>
      <c r="D268" s="5" t="s">
        <v>635</v>
      </c>
      <c r="E268" s="5" t="s">
        <v>1410</v>
      </c>
      <c r="F268" s="5" t="s">
        <v>107</v>
      </c>
      <c r="G268" s="5" t="s">
        <v>1425</v>
      </c>
      <c r="H268" s="5" t="s">
        <v>2115</v>
      </c>
      <c r="I268" s="5" t="s">
        <v>1549</v>
      </c>
      <c r="J268" s="5" t="s">
        <v>2116</v>
      </c>
      <c r="K268" s="5" t="s">
        <v>2117</v>
      </c>
      <c r="L268" s="5" t="s">
        <v>1416</v>
      </c>
    </row>
    <row r="269" customFormat="false" ht="15" hidden="false" customHeight="false" outlineLevel="0" collapsed="false">
      <c r="A269" s="5" t="s">
        <v>2118</v>
      </c>
      <c r="B269" s="5" t="s">
        <v>60</v>
      </c>
      <c r="C269" s="5" t="s">
        <v>540</v>
      </c>
      <c r="D269" s="5" t="s">
        <v>635</v>
      </c>
      <c r="E269" s="5" t="s">
        <v>1553</v>
      </c>
      <c r="F269" s="5" t="s">
        <v>107</v>
      </c>
      <c r="G269" s="5" t="s">
        <v>1425</v>
      </c>
      <c r="H269" s="5" t="s">
        <v>1554</v>
      </c>
      <c r="I269" s="5" t="s">
        <v>1555</v>
      </c>
      <c r="J269" s="5" t="s">
        <v>2119</v>
      </c>
      <c r="K269" s="5" t="s">
        <v>1557</v>
      </c>
      <c r="L269" s="5" t="s">
        <v>1416</v>
      </c>
    </row>
    <row r="270" customFormat="false" ht="22.35" hidden="false" customHeight="false" outlineLevel="0" collapsed="false">
      <c r="A270" s="5" t="s">
        <v>2120</v>
      </c>
      <c r="B270" s="5" t="s">
        <v>60</v>
      </c>
      <c r="C270" s="5" t="s">
        <v>540</v>
      </c>
      <c r="D270" s="5" t="s">
        <v>635</v>
      </c>
      <c r="E270" s="5" t="s">
        <v>1424</v>
      </c>
      <c r="F270" s="5" t="s">
        <v>107</v>
      </c>
      <c r="G270" s="5" t="s">
        <v>1425</v>
      </c>
      <c r="H270" s="5" t="s">
        <v>2121</v>
      </c>
      <c r="I270" s="5" t="s">
        <v>1560</v>
      </c>
      <c r="J270" s="5" t="s">
        <v>2122</v>
      </c>
      <c r="K270" s="5" t="s">
        <v>2123</v>
      </c>
      <c r="L270" s="5" t="s">
        <v>1416</v>
      </c>
    </row>
    <row r="271" customFormat="false" ht="32.8" hidden="false" customHeight="false" outlineLevel="0" collapsed="false">
      <c r="A271" s="5" t="s">
        <v>2124</v>
      </c>
      <c r="B271" s="5" t="s">
        <v>640</v>
      </c>
      <c r="C271" s="5" t="s">
        <v>641</v>
      </c>
      <c r="D271" s="5" t="s">
        <v>646</v>
      </c>
      <c r="E271" s="5" t="s">
        <v>1410</v>
      </c>
      <c r="F271" s="5" t="s">
        <v>49</v>
      </c>
      <c r="G271" s="5" t="s">
        <v>1411</v>
      </c>
      <c r="H271" s="5" t="s">
        <v>2125</v>
      </c>
      <c r="I271" s="5" t="s">
        <v>1601</v>
      </c>
      <c r="J271" s="5" t="s">
        <v>1602</v>
      </c>
      <c r="K271" s="5" t="s">
        <v>1603</v>
      </c>
      <c r="L271" s="5" t="s">
        <v>1416</v>
      </c>
    </row>
    <row r="272" customFormat="false" ht="32.8" hidden="false" customHeight="false" outlineLevel="0" collapsed="false">
      <c r="A272" s="5" t="s">
        <v>2126</v>
      </c>
      <c r="B272" s="5" t="s">
        <v>640</v>
      </c>
      <c r="C272" s="5" t="s">
        <v>641</v>
      </c>
      <c r="D272" s="5" t="s">
        <v>646</v>
      </c>
      <c r="E272" s="5" t="s">
        <v>1480</v>
      </c>
      <c r="F272" s="5" t="s">
        <v>49</v>
      </c>
      <c r="G272" s="5" t="s">
        <v>1411</v>
      </c>
      <c r="H272" s="5" t="s">
        <v>1605</v>
      </c>
      <c r="I272" s="5" t="s">
        <v>1606</v>
      </c>
      <c r="J272" s="5" t="s">
        <v>1607</v>
      </c>
      <c r="K272" s="5" t="s">
        <v>1608</v>
      </c>
      <c r="L272" s="5" t="s">
        <v>1416</v>
      </c>
    </row>
    <row r="273" customFormat="false" ht="32.8" hidden="false" customHeight="false" outlineLevel="0" collapsed="false">
      <c r="A273" s="5" t="s">
        <v>2127</v>
      </c>
      <c r="B273" s="5" t="s">
        <v>640</v>
      </c>
      <c r="C273" s="5" t="s">
        <v>641</v>
      </c>
      <c r="D273" s="5" t="s">
        <v>646</v>
      </c>
      <c r="E273" s="5" t="s">
        <v>1439</v>
      </c>
      <c r="F273" s="5" t="s">
        <v>49</v>
      </c>
      <c r="G273" s="5" t="s">
        <v>1411</v>
      </c>
      <c r="H273" s="5" t="s">
        <v>1610</v>
      </c>
      <c r="I273" s="5" t="s">
        <v>1611</v>
      </c>
      <c r="J273" s="5" t="s">
        <v>1612</v>
      </c>
      <c r="K273" s="5" t="s">
        <v>1613</v>
      </c>
      <c r="L273" s="5" t="s">
        <v>1416</v>
      </c>
    </row>
    <row r="274" customFormat="false" ht="32.8" hidden="false" customHeight="false" outlineLevel="0" collapsed="false">
      <c r="A274" s="5" t="s">
        <v>2128</v>
      </c>
      <c r="B274" s="5" t="s">
        <v>640</v>
      </c>
      <c r="C274" s="5" t="s">
        <v>641</v>
      </c>
      <c r="D274" s="5" t="s">
        <v>646</v>
      </c>
      <c r="E274" s="5" t="s">
        <v>1338</v>
      </c>
      <c r="F274" s="5" t="s">
        <v>49</v>
      </c>
      <c r="G274" s="5" t="s">
        <v>1338</v>
      </c>
      <c r="H274" s="5" t="s">
        <v>2129</v>
      </c>
      <c r="I274" s="5" t="s">
        <v>1432</v>
      </c>
      <c r="J274" s="5" t="s">
        <v>1433</v>
      </c>
      <c r="K274" s="5" t="s">
        <v>1434</v>
      </c>
      <c r="L274" s="5" t="s">
        <v>1416</v>
      </c>
    </row>
    <row r="275" customFormat="false" ht="32.8" hidden="false" customHeight="false" outlineLevel="0" collapsed="false">
      <c r="A275" s="5" t="s">
        <v>2130</v>
      </c>
      <c r="B275" s="5" t="s">
        <v>655</v>
      </c>
      <c r="C275" s="5" t="s">
        <v>641</v>
      </c>
      <c r="D275" s="5" t="s">
        <v>660</v>
      </c>
      <c r="E275" s="5" t="s">
        <v>1410</v>
      </c>
      <c r="F275" s="5" t="s">
        <v>49</v>
      </c>
      <c r="G275" s="5" t="s">
        <v>1411</v>
      </c>
      <c r="H275" s="5" t="s">
        <v>2131</v>
      </c>
      <c r="I275" s="5" t="s">
        <v>1413</v>
      </c>
      <c r="J275" s="5" t="s">
        <v>2132</v>
      </c>
      <c r="K275" s="5" t="s">
        <v>1415</v>
      </c>
      <c r="L275" s="5" t="s">
        <v>1416</v>
      </c>
    </row>
    <row r="276" customFormat="false" ht="22.35" hidden="false" customHeight="false" outlineLevel="0" collapsed="false">
      <c r="A276" s="5" t="s">
        <v>2133</v>
      </c>
      <c r="B276" s="5" t="s">
        <v>655</v>
      </c>
      <c r="C276" s="5" t="s">
        <v>641</v>
      </c>
      <c r="D276" s="5" t="s">
        <v>660</v>
      </c>
      <c r="E276" s="5" t="s">
        <v>1439</v>
      </c>
      <c r="F276" s="5" t="s">
        <v>49</v>
      </c>
      <c r="G276" s="5" t="s">
        <v>1411</v>
      </c>
      <c r="H276" s="5" t="s">
        <v>1902</v>
      </c>
      <c r="I276" s="5" t="s">
        <v>1903</v>
      </c>
      <c r="J276" s="5" t="s">
        <v>2134</v>
      </c>
      <c r="K276" s="5" t="s">
        <v>1904</v>
      </c>
      <c r="L276" s="5" t="s">
        <v>1416</v>
      </c>
    </row>
    <row r="277" customFormat="false" ht="22.35" hidden="false" customHeight="false" outlineLevel="0" collapsed="false">
      <c r="A277" s="5" t="s">
        <v>2135</v>
      </c>
      <c r="B277" s="5" t="s">
        <v>655</v>
      </c>
      <c r="C277" s="5" t="s">
        <v>641</v>
      </c>
      <c r="D277" s="5" t="s">
        <v>660</v>
      </c>
      <c r="E277" s="5" t="s">
        <v>1439</v>
      </c>
      <c r="F277" s="5" t="s">
        <v>49</v>
      </c>
      <c r="G277" s="5" t="s">
        <v>1411</v>
      </c>
      <c r="H277" s="5" t="s">
        <v>1689</v>
      </c>
      <c r="I277" s="5" t="s">
        <v>1690</v>
      </c>
      <c r="J277" s="5" t="s">
        <v>2134</v>
      </c>
      <c r="K277" s="5" t="s">
        <v>1691</v>
      </c>
      <c r="L277" s="5" t="s">
        <v>1416</v>
      </c>
    </row>
    <row r="278" customFormat="false" ht="22.35" hidden="false" customHeight="false" outlineLevel="0" collapsed="false">
      <c r="A278" s="5" t="s">
        <v>2136</v>
      </c>
      <c r="B278" s="5" t="s">
        <v>655</v>
      </c>
      <c r="C278" s="5" t="s">
        <v>641</v>
      </c>
      <c r="D278" s="5" t="s">
        <v>660</v>
      </c>
      <c r="E278" s="5" t="s">
        <v>1439</v>
      </c>
      <c r="F278" s="5" t="s">
        <v>49</v>
      </c>
      <c r="G278" s="5" t="s">
        <v>1411</v>
      </c>
      <c r="H278" s="5" t="s">
        <v>2137</v>
      </c>
      <c r="I278" s="5" t="s">
        <v>2138</v>
      </c>
      <c r="J278" s="5" t="s">
        <v>2134</v>
      </c>
      <c r="K278" s="5" t="s">
        <v>2139</v>
      </c>
      <c r="L278" s="5" t="s">
        <v>1416</v>
      </c>
    </row>
    <row r="279" customFormat="false" ht="32.8" hidden="false" customHeight="false" outlineLevel="0" collapsed="false">
      <c r="A279" s="5" t="s">
        <v>2140</v>
      </c>
      <c r="B279" s="5" t="s">
        <v>655</v>
      </c>
      <c r="C279" s="5" t="s">
        <v>641</v>
      </c>
      <c r="D279" s="5" t="s">
        <v>660</v>
      </c>
      <c r="E279" s="5" t="s">
        <v>1418</v>
      </c>
      <c r="F279" s="5" t="s">
        <v>49</v>
      </c>
      <c r="G279" s="5" t="s">
        <v>1411</v>
      </c>
      <c r="H279" s="5" t="s">
        <v>1419</v>
      </c>
      <c r="I279" s="5" t="s">
        <v>2141</v>
      </c>
      <c r="J279" s="5" t="s">
        <v>2142</v>
      </c>
      <c r="K279" s="5" t="s">
        <v>1422</v>
      </c>
      <c r="L279" s="5" t="s">
        <v>1416</v>
      </c>
    </row>
    <row r="280" customFormat="false" ht="32.8" hidden="false" customHeight="false" outlineLevel="0" collapsed="false">
      <c r="A280" s="5" t="s">
        <v>2143</v>
      </c>
      <c r="B280" s="5" t="s">
        <v>655</v>
      </c>
      <c r="C280" s="5" t="s">
        <v>641</v>
      </c>
      <c r="D280" s="5" t="s">
        <v>660</v>
      </c>
      <c r="E280" s="5" t="s">
        <v>1480</v>
      </c>
      <c r="F280" s="5" t="s">
        <v>49</v>
      </c>
      <c r="G280" s="5" t="s">
        <v>1411</v>
      </c>
      <c r="H280" s="5" t="s">
        <v>1481</v>
      </c>
      <c r="I280" s="5" t="s">
        <v>664</v>
      </c>
      <c r="J280" s="5" t="s">
        <v>2144</v>
      </c>
      <c r="K280" s="5" t="s">
        <v>1483</v>
      </c>
      <c r="L280" s="5" t="s">
        <v>1416</v>
      </c>
    </row>
    <row r="281" customFormat="false" ht="32.8" hidden="false" customHeight="false" outlineLevel="0" collapsed="false">
      <c r="A281" s="5" t="s">
        <v>2145</v>
      </c>
      <c r="B281" s="5" t="s">
        <v>655</v>
      </c>
      <c r="C281" s="5" t="s">
        <v>641</v>
      </c>
      <c r="D281" s="5" t="s">
        <v>660</v>
      </c>
      <c r="E281" s="5" t="s">
        <v>1424</v>
      </c>
      <c r="F281" s="5" t="s">
        <v>49</v>
      </c>
      <c r="G281" s="5" t="s">
        <v>1425</v>
      </c>
      <c r="H281" s="5" t="s">
        <v>2146</v>
      </c>
      <c r="I281" s="5" t="s">
        <v>1427</v>
      </c>
      <c r="J281" s="5" t="s">
        <v>1428</v>
      </c>
      <c r="K281" s="5" t="s">
        <v>1429</v>
      </c>
      <c r="L281" s="5" t="s">
        <v>1416</v>
      </c>
    </row>
    <row r="282" customFormat="false" ht="22.35" hidden="false" customHeight="false" outlineLevel="0" collapsed="false">
      <c r="A282" s="5" t="s">
        <v>2147</v>
      </c>
      <c r="B282" s="5" t="s">
        <v>655</v>
      </c>
      <c r="C282" s="5" t="s">
        <v>641</v>
      </c>
      <c r="D282" s="5" t="s">
        <v>660</v>
      </c>
      <c r="E282" s="5" t="s">
        <v>1338</v>
      </c>
      <c r="F282" s="5" t="s">
        <v>49</v>
      </c>
      <c r="G282" s="5" t="s">
        <v>1338</v>
      </c>
      <c r="H282" s="5" t="s">
        <v>2148</v>
      </c>
      <c r="I282" s="5" t="s">
        <v>1432</v>
      </c>
      <c r="J282" s="5" t="s">
        <v>1433</v>
      </c>
      <c r="K282" s="5" t="s">
        <v>1434</v>
      </c>
      <c r="L282" s="5" t="s">
        <v>1416</v>
      </c>
    </row>
    <row r="283" customFormat="false" ht="32.8" hidden="false" customHeight="false" outlineLevel="0" collapsed="false">
      <c r="A283" s="5" t="s">
        <v>2149</v>
      </c>
      <c r="B283" s="5" t="s">
        <v>667</v>
      </c>
      <c r="C283" s="5" t="s">
        <v>641</v>
      </c>
      <c r="D283" s="5" t="s">
        <v>671</v>
      </c>
      <c r="E283" s="5" t="s">
        <v>1410</v>
      </c>
      <c r="F283" s="5" t="s">
        <v>49</v>
      </c>
      <c r="G283" s="5" t="s">
        <v>1411</v>
      </c>
      <c r="H283" s="5" t="s">
        <v>2150</v>
      </c>
      <c r="I283" s="5" t="s">
        <v>1413</v>
      </c>
      <c r="J283" s="5" t="s">
        <v>2151</v>
      </c>
      <c r="K283" s="5" t="s">
        <v>1415</v>
      </c>
      <c r="L283" s="5" t="s">
        <v>1416</v>
      </c>
    </row>
    <row r="284" customFormat="false" ht="22.35" hidden="false" customHeight="false" outlineLevel="0" collapsed="false">
      <c r="A284" s="5" t="s">
        <v>2152</v>
      </c>
      <c r="B284" s="5" t="s">
        <v>667</v>
      </c>
      <c r="C284" s="5" t="s">
        <v>641</v>
      </c>
      <c r="D284" s="5" t="s">
        <v>671</v>
      </c>
      <c r="E284" s="5" t="s">
        <v>1439</v>
      </c>
      <c r="F284" s="5" t="s">
        <v>49</v>
      </c>
      <c r="G284" s="5" t="s">
        <v>1411</v>
      </c>
      <c r="H284" s="5" t="s">
        <v>2153</v>
      </c>
      <c r="I284" s="5" t="s">
        <v>2154</v>
      </c>
      <c r="J284" s="5" t="s">
        <v>2155</v>
      </c>
      <c r="K284" s="5" t="s">
        <v>2156</v>
      </c>
      <c r="L284" s="5" t="s">
        <v>1416</v>
      </c>
    </row>
    <row r="285" customFormat="false" ht="22.35" hidden="false" customHeight="false" outlineLevel="0" collapsed="false">
      <c r="A285" s="5" t="s">
        <v>2157</v>
      </c>
      <c r="B285" s="5" t="s">
        <v>667</v>
      </c>
      <c r="C285" s="5" t="s">
        <v>641</v>
      </c>
      <c r="D285" s="5" t="s">
        <v>671</v>
      </c>
      <c r="E285" s="5" t="s">
        <v>1439</v>
      </c>
      <c r="F285" s="5" t="s">
        <v>49</v>
      </c>
      <c r="G285" s="5" t="s">
        <v>1411</v>
      </c>
      <c r="H285" s="5" t="s">
        <v>1902</v>
      </c>
      <c r="I285" s="5" t="s">
        <v>1903</v>
      </c>
      <c r="J285" s="5" t="s">
        <v>2155</v>
      </c>
      <c r="K285" s="5" t="s">
        <v>1904</v>
      </c>
      <c r="L285" s="5" t="s">
        <v>1416</v>
      </c>
    </row>
    <row r="286" customFormat="false" ht="22.35" hidden="false" customHeight="false" outlineLevel="0" collapsed="false">
      <c r="A286" s="5" t="s">
        <v>2158</v>
      </c>
      <c r="B286" s="5" t="s">
        <v>667</v>
      </c>
      <c r="C286" s="5" t="s">
        <v>641</v>
      </c>
      <c r="D286" s="5" t="s">
        <v>671</v>
      </c>
      <c r="E286" s="5" t="s">
        <v>1439</v>
      </c>
      <c r="F286" s="5" t="s">
        <v>49</v>
      </c>
      <c r="G286" s="5" t="s">
        <v>1411</v>
      </c>
      <c r="H286" s="5" t="s">
        <v>1689</v>
      </c>
      <c r="I286" s="5" t="s">
        <v>1690</v>
      </c>
      <c r="J286" s="5" t="s">
        <v>2155</v>
      </c>
      <c r="K286" s="5" t="s">
        <v>1691</v>
      </c>
      <c r="L286" s="5" t="s">
        <v>1416</v>
      </c>
    </row>
    <row r="287" customFormat="false" ht="22.35" hidden="false" customHeight="false" outlineLevel="0" collapsed="false">
      <c r="A287" s="5" t="s">
        <v>2159</v>
      </c>
      <c r="B287" s="5" t="s">
        <v>667</v>
      </c>
      <c r="C287" s="5" t="s">
        <v>641</v>
      </c>
      <c r="D287" s="5" t="s">
        <v>671</v>
      </c>
      <c r="E287" s="5" t="s">
        <v>1439</v>
      </c>
      <c r="F287" s="5" t="s">
        <v>49</v>
      </c>
      <c r="G287" s="5" t="s">
        <v>1411</v>
      </c>
      <c r="H287" s="5" t="s">
        <v>1693</v>
      </c>
      <c r="I287" s="5" t="s">
        <v>1694</v>
      </c>
      <c r="J287" s="5" t="s">
        <v>2155</v>
      </c>
      <c r="K287" s="5" t="s">
        <v>1695</v>
      </c>
      <c r="L287" s="5" t="s">
        <v>1416</v>
      </c>
    </row>
    <row r="288" customFormat="false" ht="32.8" hidden="false" customHeight="false" outlineLevel="0" collapsed="false">
      <c r="A288" s="5" t="s">
        <v>2160</v>
      </c>
      <c r="B288" s="5" t="s">
        <v>667</v>
      </c>
      <c r="C288" s="5" t="s">
        <v>641</v>
      </c>
      <c r="D288" s="5" t="s">
        <v>671</v>
      </c>
      <c r="E288" s="5" t="s">
        <v>1418</v>
      </c>
      <c r="F288" s="5" t="s">
        <v>49</v>
      </c>
      <c r="G288" s="5" t="s">
        <v>1411</v>
      </c>
      <c r="H288" s="5" t="s">
        <v>1419</v>
      </c>
      <c r="I288" s="5" t="s">
        <v>2161</v>
      </c>
      <c r="J288" s="5" t="s">
        <v>2162</v>
      </c>
      <c r="K288" s="5" t="s">
        <v>1422</v>
      </c>
      <c r="L288" s="5" t="s">
        <v>1416</v>
      </c>
    </row>
    <row r="289" customFormat="false" ht="22.35" hidden="false" customHeight="false" outlineLevel="0" collapsed="false">
      <c r="A289" s="5" t="s">
        <v>2163</v>
      </c>
      <c r="B289" s="5" t="s">
        <v>667</v>
      </c>
      <c r="C289" s="5" t="s">
        <v>641</v>
      </c>
      <c r="D289" s="5" t="s">
        <v>671</v>
      </c>
      <c r="E289" s="5" t="s">
        <v>1480</v>
      </c>
      <c r="F289" s="5" t="s">
        <v>49</v>
      </c>
      <c r="G289" s="5" t="s">
        <v>1411</v>
      </c>
      <c r="H289" s="5" t="s">
        <v>1481</v>
      </c>
      <c r="I289" s="5" t="s">
        <v>676</v>
      </c>
      <c r="J289" s="5" t="s">
        <v>2164</v>
      </c>
      <c r="K289" s="5" t="s">
        <v>1483</v>
      </c>
      <c r="L289" s="5" t="s">
        <v>1416</v>
      </c>
    </row>
    <row r="290" customFormat="false" ht="22.35" hidden="false" customHeight="false" outlineLevel="0" collapsed="false">
      <c r="A290" s="5" t="s">
        <v>2165</v>
      </c>
      <c r="B290" s="5" t="s">
        <v>667</v>
      </c>
      <c r="C290" s="5" t="s">
        <v>641</v>
      </c>
      <c r="D290" s="5" t="s">
        <v>671</v>
      </c>
      <c r="E290" s="5" t="s">
        <v>1424</v>
      </c>
      <c r="F290" s="5" t="s">
        <v>49</v>
      </c>
      <c r="G290" s="5" t="s">
        <v>1425</v>
      </c>
      <c r="H290" s="5" t="s">
        <v>2166</v>
      </c>
      <c r="I290" s="5" t="s">
        <v>1427</v>
      </c>
      <c r="J290" s="5" t="s">
        <v>1428</v>
      </c>
      <c r="K290" s="5" t="s">
        <v>1429</v>
      </c>
      <c r="L290" s="5" t="s">
        <v>1416</v>
      </c>
    </row>
    <row r="291" customFormat="false" ht="22.35" hidden="false" customHeight="false" outlineLevel="0" collapsed="false">
      <c r="A291" s="5" t="s">
        <v>2167</v>
      </c>
      <c r="B291" s="5" t="s">
        <v>667</v>
      </c>
      <c r="C291" s="5" t="s">
        <v>641</v>
      </c>
      <c r="D291" s="5" t="s">
        <v>671</v>
      </c>
      <c r="E291" s="5" t="s">
        <v>1338</v>
      </c>
      <c r="F291" s="5" t="s">
        <v>49</v>
      </c>
      <c r="G291" s="5" t="s">
        <v>1338</v>
      </c>
      <c r="H291" s="5" t="s">
        <v>2168</v>
      </c>
      <c r="I291" s="5" t="s">
        <v>1432</v>
      </c>
      <c r="J291" s="5" t="s">
        <v>1433</v>
      </c>
      <c r="K291" s="5" t="s">
        <v>1434</v>
      </c>
      <c r="L291" s="5" t="s">
        <v>1416</v>
      </c>
    </row>
    <row r="292" customFormat="false" ht="22.35" hidden="false" customHeight="false" outlineLevel="0" collapsed="false">
      <c r="A292" s="5" t="s">
        <v>2169</v>
      </c>
      <c r="B292" s="5" t="s">
        <v>681</v>
      </c>
      <c r="C292" s="5" t="s">
        <v>641</v>
      </c>
      <c r="D292" s="5" t="s">
        <v>685</v>
      </c>
      <c r="E292" s="5" t="s">
        <v>1410</v>
      </c>
      <c r="F292" s="5" t="s">
        <v>49</v>
      </c>
      <c r="G292" s="5" t="s">
        <v>1411</v>
      </c>
      <c r="H292" s="5" t="s">
        <v>1966</v>
      </c>
      <c r="I292" s="5" t="s">
        <v>1574</v>
      </c>
      <c r="J292" s="5" t="s">
        <v>1575</v>
      </c>
      <c r="K292" s="5" t="s">
        <v>1576</v>
      </c>
      <c r="L292" s="5" t="s">
        <v>1416</v>
      </c>
    </row>
    <row r="293" customFormat="false" ht="15" hidden="false" customHeight="false" outlineLevel="0" collapsed="false">
      <c r="A293" s="5" t="s">
        <v>2170</v>
      </c>
      <c r="B293" s="5" t="s">
        <v>681</v>
      </c>
      <c r="C293" s="5" t="s">
        <v>641</v>
      </c>
      <c r="D293" s="5" t="s">
        <v>685</v>
      </c>
      <c r="E293" s="5" t="s">
        <v>1553</v>
      </c>
      <c r="F293" s="5" t="s">
        <v>49</v>
      </c>
      <c r="G293" s="5" t="s">
        <v>1411</v>
      </c>
      <c r="H293" s="5" t="s">
        <v>1578</v>
      </c>
      <c r="I293" s="5" t="s">
        <v>1579</v>
      </c>
      <c r="J293" s="5" t="s">
        <v>1580</v>
      </c>
      <c r="K293" s="5" t="s">
        <v>1581</v>
      </c>
      <c r="L293" s="5" t="s">
        <v>1416</v>
      </c>
    </row>
    <row r="294" customFormat="false" ht="22.35" hidden="false" customHeight="false" outlineLevel="0" collapsed="false">
      <c r="A294" s="5" t="s">
        <v>2171</v>
      </c>
      <c r="B294" s="5" t="s">
        <v>681</v>
      </c>
      <c r="C294" s="5" t="s">
        <v>641</v>
      </c>
      <c r="D294" s="5" t="s">
        <v>685</v>
      </c>
      <c r="E294" s="5" t="s">
        <v>1480</v>
      </c>
      <c r="F294" s="5" t="s">
        <v>49</v>
      </c>
      <c r="G294" s="5" t="s">
        <v>1411</v>
      </c>
      <c r="H294" s="5" t="s">
        <v>1583</v>
      </c>
      <c r="I294" s="5" t="s">
        <v>1584</v>
      </c>
      <c r="J294" s="5" t="s">
        <v>1585</v>
      </c>
      <c r="K294" s="5" t="s">
        <v>1586</v>
      </c>
      <c r="L294" s="5" t="s">
        <v>1416</v>
      </c>
    </row>
    <row r="295" customFormat="false" ht="15" hidden="false" customHeight="false" outlineLevel="0" collapsed="false">
      <c r="A295" s="5" t="s">
        <v>2172</v>
      </c>
      <c r="B295" s="5" t="s">
        <v>692</v>
      </c>
      <c r="C295" s="5" t="s">
        <v>641</v>
      </c>
      <c r="D295" s="5" t="s">
        <v>696</v>
      </c>
      <c r="E295" s="5" t="s">
        <v>1410</v>
      </c>
      <c r="F295" s="5" t="s">
        <v>162</v>
      </c>
      <c r="G295" s="5" t="s">
        <v>1411</v>
      </c>
      <c r="H295" s="5" t="s">
        <v>2173</v>
      </c>
      <c r="I295" s="5" t="s">
        <v>1601</v>
      </c>
      <c r="J295" s="5" t="s">
        <v>1602</v>
      </c>
      <c r="K295" s="5" t="s">
        <v>1603</v>
      </c>
      <c r="L295" s="5" t="s">
        <v>1416</v>
      </c>
    </row>
    <row r="296" customFormat="false" ht="22.35" hidden="false" customHeight="false" outlineLevel="0" collapsed="false">
      <c r="A296" s="5" t="s">
        <v>2174</v>
      </c>
      <c r="B296" s="5" t="s">
        <v>692</v>
      </c>
      <c r="C296" s="5" t="s">
        <v>641</v>
      </c>
      <c r="D296" s="5" t="s">
        <v>696</v>
      </c>
      <c r="E296" s="5" t="s">
        <v>1480</v>
      </c>
      <c r="F296" s="5" t="s">
        <v>162</v>
      </c>
      <c r="G296" s="5" t="s">
        <v>1411</v>
      </c>
      <c r="H296" s="5" t="s">
        <v>1605</v>
      </c>
      <c r="I296" s="5" t="s">
        <v>1606</v>
      </c>
      <c r="J296" s="5" t="s">
        <v>1607</v>
      </c>
      <c r="K296" s="5" t="s">
        <v>1608</v>
      </c>
      <c r="L296" s="5" t="s">
        <v>1416</v>
      </c>
    </row>
    <row r="297" customFormat="false" ht="22.35" hidden="false" customHeight="false" outlineLevel="0" collapsed="false">
      <c r="A297" s="5" t="s">
        <v>2175</v>
      </c>
      <c r="B297" s="5" t="s">
        <v>692</v>
      </c>
      <c r="C297" s="5" t="s">
        <v>641</v>
      </c>
      <c r="D297" s="5" t="s">
        <v>696</v>
      </c>
      <c r="E297" s="5" t="s">
        <v>1439</v>
      </c>
      <c r="F297" s="5" t="s">
        <v>162</v>
      </c>
      <c r="G297" s="5" t="s">
        <v>1411</v>
      </c>
      <c r="H297" s="5" t="s">
        <v>1610</v>
      </c>
      <c r="I297" s="5" t="s">
        <v>1611</v>
      </c>
      <c r="J297" s="5" t="s">
        <v>1612</v>
      </c>
      <c r="K297" s="5" t="s">
        <v>1613</v>
      </c>
      <c r="L297" s="5" t="s">
        <v>1416</v>
      </c>
    </row>
    <row r="298" customFormat="false" ht="32.8" hidden="false" customHeight="false" outlineLevel="0" collapsed="false">
      <c r="A298" s="5" t="s">
        <v>2176</v>
      </c>
      <c r="B298" s="5" t="s">
        <v>62</v>
      </c>
      <c r="C298" s="5" t="s">
        <v>2177</v>
      </c>
      <c r="D298" s="5" t="s">
        <v>2178</v>
      </c>
      <c r="E298" s="5" t="s">
        <v>2177</v>
      </c>
      <c r="F298" s="5" t="s">
        <v>49</v>
      </c>
      <c r="G298" s="5" t="s">
        <v>2177</v>
      </c>
      <c r="H298" s="5" t="s">
        <v>2179</v>
      </c>
      <c r="I298" s="5" t="s">
        <v>2180</v>
      </c>
      <c r="J298" s="5" t="s">
        <v>2181</v>
      </c>
      <c r="K298" s="5" t="s">
        <v>2182</v>
      </c>
      <c r="L298" s="5" t="s">
        <v>1416</v>
      </c>
    </row>
    <row r="299" customFormat="false" ht="32.8" hidden="false" customHeight="false" outlineLevel="0" collapsed="false">
      <c r="A299" s="5" t="s">
        <v>2183</v>
      </c>
      <c r="B299" s="5" t="s">
        <v>197</v>
      </c>
      <c r="C299" s="5" t="s">
        <v>2177</v>
      </c>
      <c r="D299" s="5" t="s">
        <v>596</v>
      </c>
      <c r="E299" s="5" t="s">
        <v>2177</v>
      </c>
      <c r="F299" s="5" t="s">
        <v>49</v>
      </c>
      <c r="G299" s="5" t="s">
        <v>2177</v>
      </c>
      <c r="H299" s="5" t="s">
        <v>2184</v>
      </c>
      <c r="I299" s="5" t="s">
        <v>2185</v>
      </c>
      <c r="J299" s="5" t="s">
        <v>2186</v>
      </c>
      <c r="K299" s="5" t="s">
        <v>2187</v>
      </c>
      <c r="L299" s="5" t="s">
        <v>1416</v>
      </c>
    </row>
    <row r="300" customFormat="false" ht="22.35" hidden="false" customHeight="false" outlineLevel="0" collapsed="false">
      <c r="A300" s="5" t="s">
        <v>2188</v>
      </c>
      <c r="B300" s="5" t="s">
        <v>256</v>
      </c>
      <c r="C300" s="5" t="s">
        <v>2177</v>
      </c>
      <c r="D300" s="5" t="s">
        <v>2189</v>
      </c>
      <c r="E300" s="5" t="s">
        <v>2177</v>
      </c>
      <c r="F300" s="5" t="s">
        <v>49</v>
      </c>
      <c r="G300" s="5" t="s">
        <v>2177</v>
      </c>
      <c r="H300" s="5" t="s">
        <v>2190</v>
      </c>
      <c r="I300" s="5" t="s">
        <v>2191</v>
      </c>
      <c r="J300" s="5" t="s">
        <v>2192</v>
      </c>
      <c r="K300" s="5" t="s">
        <v>2193</v>
      </c>
      <c r="L300" s="5" t="s">
        <v>1416</v>
      </c>
    </row>
    <row r="301" customFormat="false" ht="22.35" hidden="false" customHeight="false" outlineLevel="0" collapsed="false">
      <c r="A301" s="5" t="s">
        <v>2194</v>
      </c>
      <c r="B301" s="5" t="s">
        <v>197</v>
      </c>
      <c r="C301" s="5" t="s">
        <v>2177</v>
      </c>
      <c r="D301" s="5" t="s">
        <v>2195</v>
      </c>
      <c r="E301" s="5" t="s">
        <v>2177</v>
      </c>
      <c r="F301" s="5" t="s">
        <v>49</v>
      </c>
      <c r="G301" s="5" t="s">
        <v>2177</v>
      </c>
      <c r="H301" s="5" t="s">
        <v>2196</v>
      </c>
      <c r="I301" s="5" t="s">
        <v>2197</v>
      </c>
      <c r="J301" s="5" t="s">
        <v>2198</v>
      </c>
      <c r="K301" s="5" t="s">
        <v>2199</v>
      </c>
      <c r="L301" s="5" t="s">
        <v>1416</v>
      </c>
    </row>
    <row r="302" customFormat="false" ht="22.35" hidden="false" customHeight="false" outlineLevel="0" collapsed="false">
      <c r="A302" s="5" t="s">
        <v>2200</v>
      </c>
      <c r="B302" s="5" t="s">
        <v>267</v>
      </c>
      <c r="C302" s="5" t="s">
        <v>2177</v>
      </c>
      <c r="D302" s="5" t="s">
        <v>2201</v>
      </c>
      <c r="E302" s="5" t="s">
        <v>2177</v>
      </c>
      <c r="F302" s="5" t="s">
        <v>49</v>
      </c>
      <c r="G302" s="5" t="s">
        <v>2177</v>
      </c>
      <c r="H302" s="5" t="s">
        <v>2202</v>
      </c>
      <c r="I302" s="5" t="s">
        <v>2203</v>
      </c>
      <c r="J302" s="5" t="s">
        <v>2204</v>
      </c>
      <c r="K302" s="5" t="s">
        <v>2205</v>
      </c>
      <c r="L302" s="5" t="s">
        <v>1416</v>
      </c>
    </row>
    <row r="303" customFormat="false" ht="32.8" hidden="false" customHeight="false" outlineLevel="0" collapsed="false">
      <c r="A303" s="5" t="s">
        <v>2206</v>
      </c>
      <c r="B303" s="5" t="s">
        <v>385</v>
      </c>
      <c r="C303" s="5" t="s">
        <v>2177</v>
      </c>
      <c r="D303" s="5" t="s">
        <v>2207</v>
      </c>
      <c r="E303" s="5" t="s">
        <v>2177</v>
      </c>
      <c r="F303" s="5" t="s">
        <v>49</v>
      </c>
      <c r="G303" s="5" t="s">
        <v>2177</v>
      </c>
      <c r="H303" s="5" t="s">
        <v>2208</v>
      </c>
      <c r="I303" s="5" t="s">
        <v>2209</v>
      </c>
      <c r="J303" s="5" t="s">
        <v>2210</v>
      </c>
      <c r="K303" s="5" t="s">
        <v>2211</v>
      </c>
      <c r="L303" s="5" t="s">
        <v>1416</v>
      </c>
    </row>
    <row r="304" customFormat="false" ht="22.35" hidden="false" customHeight="false" outlineLevel="0" collapsed="false">
      <c r="A304" s="5" t="s">
        <v>2212</v>
      </c>
      <c r="B304" s="5" t="s">
        <v>414</v>
      </c>
      <c r="C304" s="5" t="s">
        <v>2177</v>
      </c>
      <c r="D304" s="5" t="s">
        <v>2213</v>
      </c>
      <c r="E304" s="5" t="s">
        <v>2177</v>
      </c>
      <c r="F304" s="5" t="s">
        <v>49</v>
      </c>
      <c r="G304" s="5" t="s">
        <v>2177</v>
      </c>
      <c r="H304" s="5" t="s">
        <v>2214</v>
      </c>
      <c r="I304" s="5" t="s">
        <v>2215</v>
      </c>
      <c r="J304" s="5" t="s">
        <v>2216</v>
      </c>
      <c r="K304" s="5" t="s">
        <v>2217</v>
      </c>
      <c r="L304" s="5" t="s">
        <v>1416</v>
      </c>
    </row>
    <row r="305" customFormat="false" ht="32.8" hidden="false" customHeight="false" outlineLevel="0" collapsed="false">
      <c r="A305" s="5" t="s">
        <v>2218</v>
      </c>
      <c r="B305" s="5" t="s">
        <v>640</v>
      </c>
      <c r="C305" s="5" t="s">
        <v>2177</v>
      </c>
      <c r="D305" s="5" t="s">
        <v>2219</v>
      </c>
      <c r="E305" s="5" t="s">
        <v>2177</v>
      </c>
      <c r="F305" s="5" t="s">
        <v>49</v>
      </c>
      <c r="G305" s="5" t="s">
        <v>2177</v>
      </c>
      <c r="H305" s="5" t="s">
        <v>2220</v>
      </c>
      <c r="I305" s="5" t="s">
        <v>2221</v>
      </c>
      <c r="J305" s="5" t="s">
        <v>2222</v>
      </c>
      <c r="K305" s="5" t="s">
        <v>2223</v>
      </c>
      <c r="L305" s="5" t="s">
        <v>1416</v>
      </c>
    </row>
    <row r="306" customFormat="false" ht="22.35" hidden="false" customHeight="false" outlineLevel="0" collapsed="false">
      <c r="A306" s="5" t="s">
        <v>2224</v>
      </c>
      <c r="B306" s="5" t="s">
        <v>640</v>
      </c>
      <c r="C306" s="5" t="s">
        <v>2177</v>
      </c>
      <c r="D306" s="5" t="s">
        <v>887</v>
      </c>
      <c r="E306" s="5" t="s">
        <v>2177</v>
      </c>
      <c r="F306" s="5" t="s">
        <v>49</v>
      </c>
      <c r="G306" s="5" t="s">
        <v>2177</v>
      </c>
      <c r="H306" s="5" t="s">
        <v>2225</v>
      </c>
      <c r="I306" s="5" t="s">
        <v>2226</v>
      </c>
      <c r="J306" s="5" t="s">
        <v>2227</v>
      </c>
      <c r="K306" s="5" t="s">
        <v>2228</v>
      </c>
      <c r="L306" s="5" t="s">
        <v>1416</v>
      </c>
    </row>
    <row r="307" customFormat="false" ht="22.35" hidden="false" customHeight="false" outlineLevel="0" collapsed="false">
      <c r="A307" s="5" t="s">
        <v>2229</v>
      </c>
      <c r="B307" s="5" t="s">
        <v>197</v>
      </c>
      <c r="C307" s="5" t="s">
        <v>2177</v>
      </c>
      <c r="D307" s="5" t="s">
        <v>583</v>
      </c>
      <c r="E307" s="5" t="s">
        <v>2177</v>
      </c>
      <c r="F307" s="5" t="s">
        <v>49</v>
      </c>
      <c r="G307" s="5" t="s">
        <v>2177</v>
      </c>
      <c r="H307" s="5" t="s">
        <v>2230</v>
      </c>
      <c r="I307" s="5" t="s">
        <v>2231</v>
      </c>
      <c r="J307" s="5" t="s">
        <v>2232</v>
      </c>
      <c r="K307" s="5" t="s">
        <v>2233</v>
      </c>
      <c r="L307" s="5" t="s">
        <v>1416</v>
      </c>
    </row>
    <row r="308" customFormat="false" ht="22.35" hidden="false" customHeight="false" outlineLevel="0" collapsed="false">
      <c r="A308" s="5" t="s">
        <v>2234</v>
      </c>
      <c r="B308" s="5" t="s">
        <v>558</v>
      </c>
      <c r="C308" s="5" t="s">
        <v>2177</v>
      </c>
      <c r="D308" s="5" t="s">
        <v>1016</v>
      </c>
      <c r="E308" s="5" t="s">
        <v>2177</v>
      </c>
      <c r="F308" s="5" t="s">
        <v>49</v>
      </c>
      <c r="G308" s="5" t="s">
        <v>2177</v>
      </c>
      <c r="H308" s="5" t="s">
        <v>2235</v>
      </c>
      <c r="I308" s="5" t="s">
        <v>2236</v>
      </c>
      <c r="J308" s="5" t="s">
        <v>2237</v>
      </c>
      <c r="K308" s="5" t="s">
        <v>2238</v>
      </c>
      <c r="L308" s="5" t="s">
        <v>1416</v>
      </c>
    </row>
    <row r="309" customFormat="false" ht="32.8" hidden="false" customHeight="false" outlineLevel="0" collapsed="false">
      <c r="A309" s="5" t="s">
        <v>2239</v>
      </c>
      <c r="B309" s="5" t="s">
        <v>640</v>
      </c>
      <c r="C309" s="5" t="s">
        <v>2177</v>
      </c>
      <c r="D309" s="5" t="s">
        <v>2240</v>
      </c>
      <c r="E309" s="5" t="s">
        <v>2177</v>
      </c>
      <c r="F309" s="5" t="s">
        <v>49</v>
      </c>
      <c r="G309" s="5" t="s">
        <v>2177</v>
      </c>
      <c r="H309" s="5" t="s">
        <v>2241</v>
      </c>
      <c r="I309" s="5" t="s">
        <v>2242</v>
      </c>
      <c r="J309" s="5" t="s">
        <v>2243</v>
      </c>
      <c r="K309" s="5" t="s">
        <v>2244</v>
      </c>
      <c r="L309" s="5" t="s">
        <v>1416</v>
      </c>
    </row>
    <row r="310" customFormat="false" ht="22.35" hidden="false" customHeight="false" outlineLevel="0" collapsed="false">
      <c r="A310" s="5" t="s">
        <v>2245</v>
      </c>
      <c r="B310" s="5" t="s">
        <v>640</v>
      </c>
      <c r="C310" s="5" t="s">
        <v>2177</v>
      </c>
      <c r="D310" s="5" t="s">
        <v>2246</v>
      </c>
      <c r="E310" s="5" t="s">
        <v>2177</v>
      </c>
      <c r="F310" s="5" t="s">
        <v>49</v>
      </c>
      <c r="G310" s="5" t="s">
        <v>2177</v>
      </c>
      <c r="H310" s="5" t="s">
        <v>2247</v>
      </c>
      <c r="I310" s="5" t="s">
        <v>2226</v>
      </c>
      <c r="J310" s="5" t="s">
        <v>2248</v>
      </c>
      <c r="K310" s="5" t="s">
        <v>2249</v>
      </c>
      <c r="L310" s="5" t="s">
        <v>1416</v>
      </c>
    </row>
    <row r="311" customFormat="false" ht="22.35" hidden="false" customHeight="false" outlineLevel="0" collapsed="false">
      <c r="A311" s="5" t="s">
        <v>2250</v>
      </c>
      <c r="B311" s="5" t="s">
        <v>667</v>
      </c>
      <c r="C311" s="5" t="s">
        <v>2177</v>
      </c>
      <c r="D311" s="5" t="s">
        <v>2251</v>
      </c>
      <c r="E311" s="5" t="s">
        <v>2177</v>
      </c>
      <c r="F311" s="5" t="s">
        <v>49</v>
      </c>
      <c r="G311" s="5" t="s">
        <v>2177</v>
      </c>
      <c r="H311" s="5" t="s">
        <v>2252</v>
      </c>
      <c r="I311" s="5" t="s">
        <v>2253</v>
      </c>
      <c r="J311" s="5" t="s">
        <v>2254</v>
      </c>
      <c r="K311" s="5" t="s">
        <v>2255</v>
      </c>
      <c r="L311" s="5" t="s">
        <v>1416</v>
      </c>
    </row>
    <row r="312" customFormat="false" ht="22.35" hidden="false" customHeight="false" outlineLevel="0" collapsed="false">
      <c r="A312" s="5" t="s">
        <v>2256</v>
      </c>
      <c r="B312" s="5" t="s">
        <v>692</v>
      </c>
      <c r="C312" s="5" t="s">
        <v>2177</v>
      </c>
      <c r="D312" s="5" t="s">
        <v>696</v>
      </c>
      <c r="E312" s="5" t="s">
        <v>2177</v>
      </c>
      <c r="F312" s="5" t="s">
        <v>49</v>
      </c>
      <c r="G312" s="5" t="s">
        <v>2177</v>
      </c>
      <c r="H312" s="5" t="s">
        <v>2257</v>
      </c>
      <c r="I312" s="5" t="s">
        <v>2258</v>
      </c>
      <c r="J312" s="5" t="s">
        <v>2259</v>
      </c>
      <c r="K312" s="5" t="s">
        <v>2260</v>
      </c>
      <c r="L312" s="5" t="s">
        <v>1416</v>
      </c>
    </row>
  </sheetData>
  <autoFilter ref="A1:L3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4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4" t="s">
        <v>19</v>
      </c>
      <c r="B1" s="4" t="s">
        <v>1403</v>
      </c>
      <c r="C1" s="4" t="s">
        <v>2261</v>
      </c>
      <c r="D1" s="4" t="s">
        <v>2262</v>
      </c>
      <c r="E1" s="4" t="s">
        <v>2263</v>
      </c>
      <c r="F1" s="4" t="s">
        <v>1236</v>
      </c>
      <c r="G1" s="4" t="s">
        <v>2264</v>
      </c>
    </row>
    <row r="2" customFormat="false" ht="43.25" hidden="false" customHeight="false" outlineLevel="0" collapsed="false">
      <c r="A2" s="5" t="s">
        <v>2265</v>
      </c>
      <c r="B2" s="5" t="s">
        <v>2266</v>
      </c>
      <c r="C2" s="5" t="s">
        <v>2267</v>
      </c>
      <c r="D2" s="5" t="s">
        <v>2268</v>
      </c>
      <c r="E2" s="5" t="s">
        <v>2269</v>
      </c>
      <c r="F2" s="5" t="s">
        <v>2270</v>
      </c>
      <c r="G2" s="5" t="s">
        <v>2271</v>
      </c>
    </row>
    <row r="3" customFormat="false" ht="22.35" hidden="false" customHeight="false" outlineLevel="0" collapsed="false">
      <c r="A3" s="5" t="s">
        <v>2272</v>
      </c>
      <c r="B3" s="5" t="s">
        <v>1338</v>
      </c>
      <c r="C3" s="5" t="s">
        <v>2273</v>
      </c>
      <c r="D3" s="5" t="s">
        <v>2274</v>
      </c>
      <c r="E3" s="5" t="s">
        <v>1239</v>
      </c>
      <c r="F3" s="5" t="s">
        <v>2270</v>
      </c>
      <c r="G3" s="5" t="s">
        <v>640</v>
      </c>
    </row>
    <row r="4" customFormat="false" ht="22.35" hidden="false" customHeight="false" outlineLevel="0" collapsed="false">
      <c r="A4" s="5" t="s">
        <v>2275</v>
      </c>
      <c r="B4" s="5" t="s">
        <v>1338</v>
      </c>
      <c r="C4" s="5" t="s">
        <v>2276</v>
      </c>
      <c r="D4" s="5" t="s">
        <v>2277</v>
      </c>
      <c r="E4" s="5" t="s">
        <v>2278</v>
      </c>
      <c r="F4" s="5" t="s">
        <v>2270</v>
      </c>
      <c r="G4" s="5" t="s">
        <v>2279</v>
      </c>
    </row>
    <row r="5" customFormat="false" ht="43.25" hidden="false" customHeight="false" outlineLevel="0" collapsed="false">
      <c r="A5" s="5" t="s">
        <v>691</v>
      </c>
      <c r="B5" s="5" t="s">
        <v>2266</v>
      </c>
      <c r="C5" s="5" t="s">
        <v>2280</v>
      </c>
      <c r="D5" s="5" t="s">
        <v>2281</v>
      </c>
      <c r="E5" s="5" t="s">
        <v>2282</v>
      </c>
      <c r="F5" s="5" t="s">
        <v>2283</v>
      </c>
      <c r="G5" s="5" t="s">
        <v>2284</v>
      </c>
    </row>
    <row r="6" customFormat="false" ht="32.8" hidden="false" customHeight="false" outlineLevel="0" collapsed="false">
      <c r="A6" s="5" t="s">
        <v>230</v>
      </c>
      <c r="B6" s="5" t="s">
        <v>1338</v>
      </c>
      <c r="C6" s="5" t="s">
        <v>2285</v>
      </c>
      <c r="D6" s="5" t="s">
        <v>2286</v>
      </c>
      <c r="E6" s="5" t="s">
        <v>797</v>
      </c>
      <c r="F6" s="5" t="s">
        <v>2283</v>
      </c>
      <c r="G6" s="5" t="s">
        <v>2287</v>
      </c>
    </row>
    <row r="7" customFormat="false" ht="32.8" hidden="false" customHeight="false" outlineLevel="0" collapsed="false">
      <c r="A7" s="5" t="s">
        <v>603</v>
      </c>
      <c r="B7" s="5" t="s">
        <v>1338</v>
      </c>
      <c r="C7" s="5" t="s">
        <v>2288</v>
      </c>
      <c r="D7" s="5" t="s">
        <v>2289</v>
      </c>
      <c r="E7" s="5" t="s">
        <v>1310</v>
      </c>
      <c r="F7" s="5" t="s">
        <v>2283</v>
      </c>
      <c r="G7" s="5" t="s">
        <v>2290</v>
      </c>
    </row>
    <row r="8" customFormat="false" ht="22.35" hidden="false" customHeight="false" outlineLevel="0" collapsed="false">
      <c r="A8" s="5" t="s">
        <v>2291</v>
      </c>
      <c r="B8" s="5" t="s">
        <v>1338</v>
      </c>
      <c r="C8" s="5" t="s">
        <v>2292</v>
      </c>
      <c r="D8" s="5" t="s">
        <v>2293</v>
      </c>
      <c r="E8" s="5" t="s">
        <v>1310</v>
      </c>
      <c r="F8" s="5" t="s">
        <v>2283</v>
      </c>
      <c r="G8" s="5" t="s">
        <v>457</v>
      </c>
    </row>
    <row r="9" customFormat="false" ht="15" hidden="false" customHeight="false" outlineLevel="0" collapsed="false">
      <c r="A9" s="5" t="s">
        <v>437</v>
      </c>
      <c r="B9" s="5" t="s">
        <v>2294</v>
      </c>
      <c r="C9" s="5" t="s">
        <v>2295</v>
      </c>
      <c r="D9" s="5" t="s">
        <v>2296</v>
      </c>
      <c r="E9" s="5" t="s">
        <v>2297</v>
      </c>
      <c r="F9" s="5" t="s">
        <v>2283</v>
      </c>
      <c r="G9" s="5" t="s">
        <v>428</v>
      </c>
    </row>
    <row r="10" customFormat="false" ht="22.35" hidden="false" customHeight="false" outlineLevel="0" collapsed="false">
      <c r="A10" s="5" t="s">
        <v>61</v>
      </c>
      <c r="B10" s="5" t="s">
        <v>1338</v>
      </c>
      <c r="C10" s="5" t="s">
        <v>2298</v>
      </c>
      <c r="D10" s="5" t="s">
        <v>2299</v>
      </c>
      <c r="E10" s="5" t="s">
        <v>980</v>
      </c>
      <c r="F10" s="5" t="s">
        <v>2300</v>
      </c>
      <c r="G10" s="5" t="s">
        <v>2301</v>
      </c>
    </row>
    <row r="11" customFormat="false" ht="32.8" hidden="false" customHeight="false" outlineLevel="0" collapsed="false">
      <c r="A11" s="5" t="s">
        <v>2302</v>
      </c>
      <c r="B11" s="5" t="s">
        <v>2303</v>
      </c>
      <c r="C11" s="5" t="s">
        <v>2304</v>
      </c>
      <c r="D11" s="5" t="s">
        <v>2305</v>
      </c>
      <c r="E11" s="5" t="s">
        <v>1239</v>
      </c>
      <c r="F11" s="5" t="s">
        <v>2270</v>
      </c>
      <c r="G11" s="5" t="s">
        <v>197</v>
      </c>
    </row>
    <row r="12" customFormat="false" ht="22.35" hidden="false" customHeight="false" outlineLevel="0" collapsed="false">
      <c r="A12" s="5" t="s">
        <v>366</v>
      </c>
      <c r="B12" s="5" t="s">
        <v>1338</v>
      </c>
      <c r="C12" s="5" t="s">
        <v>2306</v>
      </c>
      <c r="D12" s="5" t="s">
        <v>2307</v>
      </c>
      <c r="E12" s="5" t="s">
        <v>1331</v>
      </c>
      <c r="F12" s="5" t="s">
        <v>2283</v>
      </c>
      <c r="G12" s="5" t="s">
        <v>2308</v>
      </c>
    </row>
    <row r="13" customFormat="false" ht="22.35" hidden="false" customHeight="false" outlineLevel="0" collapsed="false">
      <c r="A13" s="5" t="s">
        <v>293</v>
      </c>
      <c r="B13" s="5" t="s">
        <v>2309</v>
      </c>
      <c r="C13" s="5" t="s">
        <v>2310</v>
      </c>
      <c r="D13" s="5" t="s">
        <v>2311</v>
      </c>
      <c r="E13" s="5" t="s">
        <v>2312</v>
      </c>
      <c r="F13" s="5" t="s">
        <v>2283</v>
      </c>
      <c r="G13" s="5" t="s">
        <v>2313</v>
      </c>
    </row>
    <row r="14" customFormat="false" ht="32.8" hidden="false" customHeight="false" outlineLevel="0" collapsed="false">
      <c r="A14" s="5" t="s">
        <v>529</v>
      </c>
      <c r="B14" s="5" t="s">
        <v>1338</v>
      </c>
      <c r="C14" s="5" t="s">
        <v>2314</v>
      </c>
      <c r="D14" s="5" t="s">
        <v>2315</v>
      </c>
      <c r="E14" s="5" t="s">
        <v>2316</v>
      </c>
      <c r="F14" s="5" t="s">
        <v>2283</v>
      </c>
      <c r="G14" s="5" t="s">
        <v>2317</v>
      </c>
    </row>
    <row r="15" customFormat="false" ht="15" hidden="false" customHeight="false" outlineLevel="0" collapsed="false">
      <c r="A15" s="5" t="s">
        <v>398</v>
      </c>
      <c r="B15" s="5" t="s">
        <v>2294</v>
      </c>
      <c r="C15" s="5" t="s">
        <v>2318</v>
      </c>
      <c r="D15" s="5" t="s">
        <v>2319</v>
      </c>
      <c r="E15" s="5" t="s">
        <v>2312</v>
      </c>
      <c r="F15" s="5" t="s">
        <v>2300</v>
      </c>
      <c r="G15" s="5" t="s">
        <v>385</v>
      </c>
    </row>
    <row r="16" customFormat="false" ht="22.35" hidden="false" customHeight="false" outlineLevel="0" collapsed="false">
      <c r="A16" s="5" t="s">
        <v>2320</v>
      </c>
      <c r="B16" s="5" t="s">
        <v>1338</v>
      </c>
      <c r="C16" s="5" t="s">
        <v>2321</v>
      </c>
      <c r="D16" s="5" t="s">
        <v>2277</v>
      </c>
      <c r="E16" s="5" t="s">
        <v>1239</v>
      </c>
      <c r="F16" s="5" t="s">
        <v>2270</v>
      </c>
      <c r="G16" s="5" t="s">
        <v>2322</v>
      </c>
    </row>
    <row r="17" customFormat="false" ht="22.35" hidden="false" customHeight="false" outlineLevel="0" collapsed="false">
      <c r="A17" s="5" t="s">
        <v>2323</v>
      </c>
      <c r="B17" s="5" t="s">
        <v>2324</v>
      </c>
      <c r="C17" s="5" t="s">
        <v>2325</v>
      </c>
      <c r="D17" s="5" t="s">
        <v>2326</v>
      </c>
      <c r="E17" s="5" t="s">
        <v>2327</v>
      </c>
      <c r="F17" s="5" t="s">
        <v>2283</v>
      </c>
      <c r="G17" s="5" t="s">
        <v>667</v>
      </c>
    </row>
    <row r="18" customFormat="false" ht="22.35" hidden="false" customHeight="false" outlineLevel="0" collapsed="false">
      <c r="A18" s="5" t="s">
        <v>2328</v>
      </c>
      <c r="B18" s="5" t="s">
        <v>2309</v>
      </c>
      <c r="C18" s="5" t="s">
        <v>2329</v>
      </c>
      <c r="D18" s="5" t="s">
        <v>2330</v>
      </c>
      <c r="E18" s="5" t="s">
        <v>2312</v>
      </c>
      <c r="F18" s="5" t="s">
        <v>2283</v>
      </c>
      <c r="G18" s="5" t="s">
        <v>488</v>
      </c>
    </row>
    <row r="19" customFormat="false" ht="15" hidden="false" customHeight="false" outlineLevel="0" collapsed="false">
      <c r="A19" s="5" t="s">
        <v>315</v>
      </c>
      <c r="B19" s="5" t="s">
        <v>2266</v>
      </c>
      <c r="C19" s="5" t="s">
        <v>2331</v>
      </c>
      <c r="D19" s="5" t="s">
        <v>2332</v>
      </c>
      <c r="E19" s="5" t="s">
        <v>2312</v>
      </c>
      <c r="F19" s="5" t="s">
        <v>2283</v>
      </c>
      <c r="G19" s="5" t="s">
        <v>308</v>
      </c>
    </row>
    <row r="20" customFormat="false" ht="15" hidden="false" customHeight="false" outlineLevel="0" collapsed="false">
      <c r="A20" s="5" t="s">
        <v>447</v>
      </c>
      <c r="B20" s="5" t="s">
        <v>2324</v>
      </c>
      <c r="C20" s="5" t="s">
        <v>2333</v>
      </c>
      <c r="D20" s="5" t="s">
        <v>2334</v>
      </c>
      <c r="E20" s="5" t="s">
        <v>2312</v>
      </c>
      <c r="F20" s="5" t="s">
        <v>2283</v>
      </c>
      <c r="G20" s="5" t="s">
        <v>438</v>
      </c>
    </row>
    <row r="21" customFormat="false" ht="32.8" hidden="false" customHeight="false" outlineLevel="0" collapsed="false">
      <c r="A21" s="5" t="s">
        <v>639</v>
      </c>
      <c r="B21" s="5" t="s">
        <v>2335</v>
      </c>
      <c r="C21" s="5" t="s">
        <v>2336</v>
      </c>
      <c r="D21" s="5" t="s">
        <v>2337</v>
      </c>
      <c r="E21" s="5" t="s">
        <v>2327</v>
      </c>
      <c r="F21" s="5" t="s">
        <v>2283</v>
      </c>
      <c r="G21" s="5" t="s">
        <v>2338</v>
      </c>
    </row>
    <row r="22" customFormat="false" ht="22.35" hidden="false" customHeight="false" outlineLevel="0" collapsed="false">
      <c r="A22" s="5" t="s">
        <v>548</v>
      </c>
      <c r="B22" s="5" t="s">
        <v>2335</v>
      </c>
      <c r="C22" s="5" t="s">
        <v>2339</v>
      </c>
      <c r="D22" s="5" t="s">
        <v>2340</v>
      </c>
      <c r="E22" s="5" t="s">
        <v>1239</v>
      </c>
      <c r="F22" s="5" t="s">
        <v>2300</v>
      </c>
      <c r="G22" s="5" t="s">
        <v>539</v>
      </c>
    </row>
    <row r="23" customFormat="false" ht="15" hidden="false" customHeight="false" outlineLevel="0" collapsed="false">
      <c r="A23" s="5" t="s">
        <v>2341</v>
      </c>
      <c r="B23" s="5" t="s">
        <v>2342</v>
      </c>
      <c r="C23" s="5" t="s">
        <v>2343</v>
      </c>
      <c r="D23" s="5" t="s">
        <v>2344</v>
      </c>
      <c r="E23" s="5" t="s">
        <v>1239</v>
      </c>
      <c r="F23" s="5" t="s">
        <v>2345</v>
      </c>
      <c r="G23" s="5" t="s">
        <v>2346</v>
      </c>
    </row>
    <row r="24" customFormat="false" ht="22.35" hidden="false" customHeight="false" outlineLevel="0" collapsed="false">
      <c r="A24" s="5" t="s">
        <v>169</v>
      </c>
      <c r="B24" s="5" t="s">
        <v>2309</v>
      </c>
      <c r="C24" s="5" t="s">
        <v>2347</v>
      </c>
      <c r="D24" s="5" t="s">
        <v>2348</v>
      </c>
      <c r="E24" s="5" t="s">
        <v>2312</v>
      </c>
      <c r="F24" s="5" t="s">
        <v>2283</v>
      </c>
      <c r="G24" s="5" t="s">
        <v>2349</v>
      </c>
    </row>
    <row r="25" customFormat="false" ht="15" hidden="false" customHeight="false" outlineLevel="0" collapsed="false">
      <c r="A25" s="5" t="s">
        <v>578</v>
      </c>
      <c r="B25" s="5" t="s">
        <v>2350</v>
      </c>
      <c r="C25" s="5" t="s">
        <v>2351</v>
      </c>
      <c r="D25" s="5" t="s">
        <v>2352</v>
      </c>
      <c r="E25" s="5" t="s">
        <v>2353</v>
      </c>
      <c r="F25" s="5" t="s">
        <v>2283</v>
      </c>
      <c r="G25" s="5" t="s">
        <v>558</v>
      </c>
    </row>
    <row r="26" customFormat="false" ht="15" hidden="false" customHeight="false" outlineLevel="0" collapsed="false">
      <c r="A26" s="5" t="s">
        <v>2354</v>
      </c>
      <c r="B26" s="5" t="s">
        <v>2355</v>
      </c>
      <c r="C26" s="5" t="s">
        <v>2356</v>
      </c>
      <c r="D26" s="5" t="s">
        <v>2357</v>
      </c>
      <c r="E26" s="5" t="s">
        <v>2312</v>
      </c>
      <c r="F26" s="5" t="s">
        <v>2283</v>
      </c>
      <c r="G26" s="5" t="s">
        <v>457</v>
      </c>
    </row>
    <row r="27" customFormat="false" ht="22.35" hidden="false" customHeight="false" outlineLevel="0" collapsed="false">
      <c r="A27" s="5" t="s">
        <v>158</v>
      </c>
      <c r="B27" s="5" t="s">
        <v>2358</v>
      </c>
      <c r="C27" s="5" t="s">
        <v>2359</v>
      </c>
      <c r="D27" s="5" t="s">
        <v>2360</v>
      </c>
      <c r="E27" s="5" t="s">
        <v>1239</v>
      </c>
      <c r="F27" s="5" t="s">
        <v>2283</v>
      </c>
      <c r="G27" s="5" t="s">
        <v>2361</v>
      </c>
    </row>
    <row r="28" customFormat="false" ht="15" hidden="false" customHeight="false" outlineLevel="0" collapsed="false">
      <c r="A28" s="5" t="s">
        <v>2362</v>
      </c>
      <c r="B28" s="5" t="s">
        <v>2363</v>
      </c>
      <c r="C28" s="5" t="s">
        <v>2364</v>
      </c>
      <c r="D28" s="5" t="s">
        <v>2365</v>
      </c>
      <c r="E28" s="5" t="s">
        <v>1239</v>
      </c>
      <c r="F28" s="5" t="s">
        <v>2366</v>
      </c>
      <c r="G28" s="5" t="s">
        <v>2367</v>
      </c>
    </row>
    <row r="29" customFormat="false" ht="15" hidden="false" customHeight="false" outlineLevel="0" collapsed="false">
      <c r="A29" s="5" t="s">
        <v>2368</v>
      </c>
      <c r="B29" s="5" t="s">
        <v>2363</v>
      </c>
      <c r="C29" s="5" t="s">
        <v>2369</v>
      </c>
      <c r="D29" s="5" t="s">
        <v>2370</v>
      </c>
      <c r="E29" s="5" t="s">
        <v>1239</v>
      </c>
      <c r="F29" s="5" t="s">
        <v>2366</v>
      </c>
      <c r="G29" s="5" t="s">
        <v>2367</v>
      </c>
    </row>
    <row r="30" customFormat="false" ht="15" hidden="false" customHeight="false" outlineLevel="0" collapsed="false">
      <c r="A30" s="5" t="s">
        <v>2371</v>
      </c>
      <c r="B30" s="5" t="s">
        <v>2372</v>
      </c>
      <c r="C30" s="5" t="s">
        <v>2373</v>
      </c>
      <c r="D30" s="5" t="s">
        <v>2374</v>
      </c>
      <c r="E30" s="5" t="s">
        <v>2312</v>
      </c>
      <c r="F30" s="5" t="s">
        <v>2283</v>
      </c>
      <c r="G30" s="5" t="s">
        <v>2375</v>
      </c>
    </row>
    <row r="31" customFormat="false" ht="22.35" hidden="false" customHeight="false" outlineLevel="0" collapsed="false">
      <c r="A31" s="5" t="s">
        <v>2376</v>
      </c>
      <c r="B31" s="5" t="s">
        <v>2377</v>
      </c>
      <c r="C31" s="5" t="s">
        <v>2378</v>
      </c>
      <c r="D31" s="5" t="s">
        <v>2379</v>
      </c>
      <c r="E31" s="5" t="s">
        <v>2312</v>
      </c>
      <c r="F31" s="5" t="s">
        <v>2283</v>
      </c>
      <c r="G31" s="5" t="s">
        <v>2380</v>
      </c>
    </row>
    <row r="32" customFormat="false" ht="22.35" hidden="false" customHeight="false" outlineLevel="0" collapsed="false">
      <c r="A32" s="5" t="s">
        <v>700</v>
      </c>
      <c r="B32" s="5" t="s">
        <v>2381</v>
      </c>
      <c r="C32" s="5" t="s">
        <v>2382</v>
      </c>
      <c r="D32" s="5" t="s">
        <v>2383</v>
      </c>
      <c r="E32" s="5" t="s">
        <v>1286</v>
      </c>
      <c r="F32" s="5" t="s">
        <v>2283</v>
      </c>
      <c r="G32" s="5" t="s">
        <v>2384</v>
      </c>
    </row>
    <row r="33" customFormat="false" ht="32.8" hidden="false" customHeight="false" outlineLevel="0" collapsed="false">
      <c r="A33" s="5" t="s">
        <v>2385</v>
      </c>
      <c r="B33" s="5" t="s">
        <v>1338</v>
      </c>
      <c r="C33" s="5" t="s">
        <v>2386</v>
      </c>
      <c r="D33" s="5" t="s">
        <v>2387</v>
      </c>
      <c r="E33" s="5" t="s">
        <v>2388</v>
      </c>
      <c r="F33" s="5" t="s">
        <v>2283</v>
      </c>
      <c r="G33" s="5" t="s">
        <v>2389</v>
      </c>
    </row>
    <row r="34" customFormat="false" ht="22.35" hidden="false" customHeight="false" outlineLevel="0" collapsed="false">
      <c r="A34" s="5" t="s">
        <v>2390</v>
      </c>
      <c r="B34" s="5" t="s">
        <v>2391</v>
      </c>
      <c r="C34" s="5" t="s">
        <v>2392</v>
      </c>
      <c r="D34" s="5" t="s">
        <v>2393</v>
      </c>
      <c r="E34" s="5" t="s">
        <v>1239</v>
      </c>
      <c r="F34" s="5" t="s">
        <v>2283</v>
      </c>
      <c r="G34" s="5" t="s">
        <v>2394</v>
      </c>
    </row>
    <row r="35" customFormat="false" ht="32.8" hidden="false" customHeight="false" outlineLevel="0" collapsed="false">
      <c r="A35" s="5" t="s">
        <v>2395</v>
      </c>
      <c r="B35" s="5" t="s">
        <v>2309</v>
      </c>
      <c r="C35" s="5" t="s">
        <v>2396</v>
      </c>
      <c r="D35" s="5" t="s">
        <v>2397</v>
      </c>
      <c r="E35" s="5" t="s">
        <v>2312</v>
      </c>
      <c r="F35" s="5" t="s">
        <v>2283</v>
      </c>
      <c r="G35" s="5" t="s">
        <v>2398</v>
      </c>
    </row>
    <row r="36" customFormat="false" ht="22.35" hidden="false" customHeight="false" outlineLevel="0" collapsed="false">
      <c r="A36" s="5" t="s">
        <v>2399</v>
      </c>
      <c r="B36" s="5" t="s">
        <v>1338</v>
      </c>
      <c r="C36" s="5" t="s">
        <v>2400</v>
      </c>
      <c r="D36" s="5" t="s">
        <v>2401</v>
      </c>
      <c r="E36" s="5" t="s">
        <v>2402</v>
      </c>
      <c r="F36" s="5" t="s">
        <v>2283</v>
      </c>
      <c r="G36" s="5" t="s">
        <v>2403</v>
      </c>
    </row>
    <row r="37" customFormat="false" ht="22.35" hidden="false" customHeight="false" outlineLevel="0" collapsed="false">
      <c r="A37" s="5" t="s">
        <v>2404</v>
      </c>
      <c r="B37" s="5" t="s">
        <v>2350</v>
      </c>
      <c r="C37" s="5" t="s">
        <v>2405</v>
      </c>
      <c r="D37" s="5" t="s">
        <v>2406</v>
      </c>
      <c r="E37" s="5" t="s">
        <v>2353</v>
      </c>
      <c r="F37" s="5" t="s">
        <v>2283</v>
      </c>
      <c r="G37" s="5" t="s">
        <v>558</v>
      </c>
    </row>
  </sheetData>
  <autoFilter ref="A1:G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70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4" t="s">
        <v>2407</v>
      </c>
      <c r="B1" s="4" t="s">
        <v>2408</v>
      </c>
      <c r="C1" s="4" t="s">
        <v>2409</v>
      </c>
      <c r="D1" s="4" t="s">
        <v>2410</v>
      </c>
      <c r="E1" s="4" t="s">
        <v>2363</v>
      </c>
      <c r="F1" s="4" t="s">
        <v>2411</v>
      </c>
    </row>
    <row r="2" customFormat="false" ht="22.35" hidden="false" customHeight="false" outlineLevel="0" collapsed="false">
      <c r="A2" s="5" t="s">
        <v>2412</v>
      </c>
      <c r="B2" s="5" t="s">
        <v>2413</v>
      </c>
      <c r="C2" s="5" t="s">
        <v>2414</v>
      </c>
      <c r="D2" s="5" t="s">
        <v>2415</v>
      </c>
      <c r="E2" s="5" t="s">
        <v>2416</v>
      </c>
      <c r="F2" s="5" t="s">
        <v>2417</v>
      </c>
    </row>
    <row r="3" customFormat="false" ht="22.35" hidden="false" customHeight="false" outlineLevel="0" collapsed="false">
      <c r="A3" s="5" t="s">
        <v>2418</v>
      </c>
      <c r="B3" s="5" t="s">
        <v>2419</v>
      </c>
      <c r="C3" s="5" t="s">
        <v>2420</v>
      </c>
      <c r="D3" s="5" t="s">
        <v>2421</v>
      </c>
      <c r="E3" s="5" t="s">
        <v>2422</v>
      </c>
      <c r="F3" s="5" t="s">
        <v>2423</v>
      </c>
    </row>
    <row r="4" customFormat="false" ht="22.35" hidden="false" customHeight="false" outlineLevel="0" collapsed="false">
      <c r="A4" s="5" t="s">
        <v>2424</v>
      </c>
      <c r="B4" s="5" t="s">
        <v>2425</v>
      </c>
      <c r="C4" s="5" t="s">
        <v>2426</v>
      </c>
      <c r="D4" s="5" t="s">
        <v>2427</v>
      </c>
      <c r="E4" s="5" t="s">
        <v>2428</v>
      </c>
      <c r="F4" s="5" t="s">
        <v>2429</v>
      </c>
    </row>
    <row r="5" customFormat="false" ht="15" hidden="false" customHeight="false" outlineLevel="0" collapsed="false">
      <c r="A5" s="5" t="s">
        <v>2430</v>
      </c>
      <c r="B5" s="5" t="s">
        <v>2431</v>
      </c>
      <c r="C5" s="5" t="s">
        <v>2432</v>
      </c>
      <c r="D5" s="5" t="s">
        <v>2433</v>
      </c>
      <c r="E5" s="5" t="s">
        <v>2434</v>
      </c>
      <c r="F5" s="5" t="s">
        <v>2435</v>
      </c>
    </row>
    <row r="6" customFormat="false" ht="22.35" hidden="false" customHeight="false" outlineLevel="0" collapsed="false">
      <c r="A6" s="5" t="s">
        <v>2436</v>
      </c>
      <c r="B6" s="5" t="s">
        <v>2437</v>
      </c>
      <c r="C6" s="5" t="s">
        <v>2438</v>
      </c>
      <c r="D6" s="5" t="s">
        <v>2439</v>
      </c>
      <c r="E6" s="5" t="s">
        <v>2440</v>
      </c>
      <c r="F6" s="5" t="s">
        <v>2417</v>
      </c>
    </row>
    <row r="7" customFormat="false" ht="15" hidden="false" customHeight="false" outlineLevel="0" collapsed="false">
      <c r="A7" s="5" t="s">
        <v>2441</v>
      </c>
      <c r="B7" s="5" t="s">
        <v>2442</v>
      </c>
      <c r="C7" s="5" t="s">
        <v>2443</v>
      </c>
      <c r="D7" s="5" t="s">
        <v>2444</v>
      </c>
      <c r="E7" s="5" t="s">
        <v>2445</v>
      </c>
      <c r="F7" s="5" t="s">
        <v>2446</v>
      </c>
    </row>
    <row r="8" customFormat="false" ht="15" hidden="false" customHeight="false" outlineLevel="0" collapsed="false">
      <c r="A8" s="5" t="s">
        <v>2447</v>
      </c>
      <c r="B8" s="5" t="s">
        <v>2448</v>
      </c>
      <c r="C8" s="5" t="s">
        <v>2449</v>
      </c>
      <c r="D8" s="5" t="s">
        <v>2450</v>
      </c>
      <c r="E8" s="5" t="s">
        <v>2451</v>
      </c>
      <c r="F8" s="5" t="s">
        <v>99</v>
      </c>
    </row>
    <row r="9" customFormat="false" ht="22.35" hidden="false" customHeight="false" outlineLevel="0" collapsed="false">
      <c r="A9" s="5" t="s">
        <v>2452</v>
      </c>
      <c r="B9" s="5" t="s">
        <v>2453</v>
      </c>
      <c r="C9" s="5" t="s">
        <v>2283</v>
      </c>
      <c r="D9" s="5" t="s">
        <v>2454</v>
      </c>
      <c r="E9" s="5" t="s">
        <v>2455</v>
      </c>
      <c r="F9" s="5" t="s">
        <v>99</v>
      </c>
    </row>
    <row r="10" customFormat="false" ht="15" hidden="false" customHeight="false" outlineLevel="0" collapsed="false">
      <c r="A10" s="5" t="s">
        <v>2456</v>
      </c>
      <c r="B10" s="5" t="s">
        <v>2457</v>
      </c>
      <c r="C10" s="5" t="s">
        <v>2458</v>
      </c>
      <c r="D10" s="5" t="s">
        <v>2459</v>
      </c>
      <c r="E10" s="5" t="s">
        <v>2460</v>
      </c>
      <c r="F10" s="5" t="s">
        <v>2417</v>
      </c>
    </row>
    <row r="11" customFormat="false" ht="15" hidden="false" customHeight="false" outlineLevel="0" collapsed="false">
      <c r="A11" s="5" t="s">
        <v>2461</v>
      </c>
      <c r="B11" s="5" t="s">
        <v>1021</v>
      </c>
      <c r="C11" s="5" t="s">
        <v>2462</v>
      </c>
      <c r="D11" s="5" t="s">
        <v>2463</v>
      </c>
      <c r="E11" s="5" t="s">
        <v>2464</v>
      </c>
      <c r="F11" s="5" t="s">
        <v>2465</v>
      </c>
    </row>
    <row r="12" customFormat="false" ht="15" hidden="false" customHeight="false" outlineLevel="0" collapsed="false">
      <c r="A12" s="5" t="s">
        <v>2466</v>
      </c>
      <c r="B12" s="5" t="s">
        <v>2448</v>
      </c>
      <c r="C12" s="5" t="s">
        <v>2467</v>
      </c>
      <c r="D12" s="5" t="s">
        <v>2468</v>
      </c>
      <c r="E12" s="5" t="s">
        <v>2469</v>
      </c>
      <c r="F12" s="5" t="s">
        <v>2465</v>
      </c>
    </row>
    <row r="13" customFormat="false" ht="32.8" hidden="false" customHeight="false" outlineLevel="0" collapsed="false">
      <c r="A13" s="5" t="s">
        <v>2470</v>
      </c>
      <c r="B13" s="5" t="s">
        <v>909</v>
      </c>
      <c r="C13" s="5" t="s">
        <v>2471</v>
      </c>
      <c r="D13" s="5" t="s">
        <v>2472</v>
      </c>
      <c r="E13" s="5" t="s">
        <v>2473</v>
      </c>
      <c r="F13" s="5" t="s">
        <v>99</v>
      </c>
    </row>
    <row r="14" customFormat="false" ht="22.35" hidden="false" customHeight="false" outlineLevel="0" collapsed="false">
      <c r="A14" s="5" t="s">
        <v>2474</v>
      </c>
      <c r="B14" s="5" t="s">
        <v>2475</v>
      </c>
      <c r="C14" s="5" t="s">
        <v>2476</v>
      </c>
      <c r="D14" s="5" t="s">
        <v>2477</v>
      </c>
      <c r="E14" s="5" t="s">
        <v>2478</v>
      </c>
      <c r="F14" s="5" t="s">
        <v>99</v>
      </c>
    </row>
    <row r="15" customFormat="false" ht="15" hidden="false" customHeight="false" outlineLevel="0" collapsed="false">
      <c r="A15" s="5" t="s">
        <v>2479</v>
      </c>
      <c r="B15" s="5" t="s">
        <v>2480</v>
      </c>
      <c r="C15" s="5" t="s">
        <v>2481</v>
      </c>
      <c r="D15" s="5" t="s">
        <v>2482</v>
      </c>
      <c r="E15" s="5" t="s">
        <v>2483</v>
      </c>
      <c r="F15" s="5" t="s">
        <v>2484</v>
      </c>
    </row>
    <row r="16" customFormat="false" ht="22.35" hidden="false" customHeight="false" outlineLevel="0" collapsed="false">
      <c r="A16" s="5" t="s">
        <v>2485</v>
      </c>
      <c r="B16" s="5" t="s">
        <v>2486</v>
      </c>
      <c r="C16" s="5" t="s">
        <v>2487</v>
      </c>
      <c r="D16" s="5" t="s">
        <v>2488</v>
      </c>
      <c r="E16" s="5" t="s">
        <v>2489</v>
      </c>
      <c r="F16" s="5" t="s">
        <v>99</v>
      </c>
    </row>
    <row r="17" customFormat="false" ht="22.35" hidden="false" customHeight="false" outlineLevel="0" collapsed="false">
      <c r="A17" s="5" t="s">
        <v>2490</v>
      </c>
      <c r="B17" s="5" t="s">
        <v>2491</v>
      </c>
      <c r="C17" s="5" t="s">
        <v>99</v>
      </c>
      <c r="D17" s="5" t="s">
        <v>2492</v>
      </c>
      <c r="E17" s="5" t="s">
        <v>2493</v>
      </c>
      <c r="F17" s="5" t="s">
        <v>99</v>
      </c>
    </row>
    <row r="18" customFormat="false" ht="22.35" hidden="false" customHeight="false" outlineLevel="0" collapsed="false">
      <c r="A18" s="5" t="s">
        <v>2494</v>
      </c>
      <c r="B18" s="5" t="s">
        <v>2495</v>
      </c>
      <c r="C18" s="5" t="s">
        <v>99</v>
      </c>
      <c r="D18" s="5" t="s">
        <v>2496</v>
      </c>
      <c r="E18" s="5" t="s">
        <v>2497</v>
      </c>
      <c r="F18" s="5" t="s">
        <v>99</v>
      </c>
    </row>
    <row r="19" customFormat="false" ht="22.35" hidden="false" customHeight="false" outlineLevel="0" collapsed="false">
      <c r="A19" s="5" t="s">
        <v>2498</v>
      </c>
      <c r="B19" s="5" t="s">
        <v>2499</v>
      </c>
      <c r="C19" s="5" t="s">
        <v>2500</v>
      </c>
      <c r="D19" s="5" t="s">
        <v>2501</v>
      </c>
      <c r="E19" s="5" t="s">
        <v>2502</v>
      </c>
      <c r="F19" s="5" t="s">
        <v>99</v>
      </c>
    </row>
  </sheetData>
  <autoFilter ref="A1: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31.5" hidden="false" customHeight="true" outlineLevel="0" collapsed="false">
      <c r="A1" s="4" t="s">
        <v>2503</v>
      </c>
      <c r="B1" s="4" t="s">
        <v>2504</v>
      </c>
      <c r="C1" s="4" t="s">
        <v>2505</v>
      </c>
      <c r="D1" s="4" t="s">
        <v>2506</v>
      </c>
      <c r="E1" s="4" t="s">
        <v>2507</v>
      </c>
    </row>
    <row r="2" customFormat="false" ht="22.35" hidden="false" customHeight="false" outlineLevel="0" collapsed="false">
      <c r="A2" s="5" t="s">
        <v>2508</v>
      </c>
      <c r="B2" s="5" t="s">
        <v>2509</v>
      </c>
      <c r="C2" s="5" t="s">
        <v>2510</v>
      </c>
      <c r="D2" s="5" t="n">
        <v>11</v>
      </c>
      <c r="E2" s="5"/>
    </row>
    <row r="3" customFormat="false" ht="15" hidden="false" customHeight="false" outlineLevel="0" collapsed="false">
      <c r="A3" s="5" t="s">
        <v>2508</v>
      </c>
      <c r="B3" s="5" t="s">
        <v>2511</v>
      </c>
      <c r="C3" s="5" t="s">
        <v>559</v>
      </c>
      <c r="D3" s="5" t="n">
        <v>1</v>
      </c>
      <c r="E3" s="5" t="s">
        <v>2512</v>
      </c>
    </row>
    <row r="4" customFormat="false" ht="15" hidden="false" customHeight="false" outlineLevel="0" collapsed="false">
      <c r="A4" s="5" t="s">
        <v>2513</v>
      </c>
      <c r="B4" s="5" t="s">
        <v>2514</v>
      </c>
      <c r="C4" s="5" t="s">
        <v>799</v>
      </c>
      <c r="D4" s="5" t="n">
        <v>2</v>
      </c>
      <c r="E4" s="5"/>
    </row>
    <row r="5" customFormat="false" ht="15" hidden="false" customHeight="false" outlineLevel="0" collapsed="false">
      <c r="A5" s="5" t="s">
        <v>2515</v>
      </c>
      <c r="B5" s="5" t="s">
        <v>2516</v>
      </c>
      <c r="C5" s="5" t="s">
        <v>977</v>
      </c>
      <c r="D5" s="5" t="n">
        <v>3</v>
      </c>
      <c r="E5" s="5"/>
    </row>
    <row r="6" customFormat="false" ht="15" hidden="false" customHeight="false" outlineLevel="0" collapsed="false">
      <c r="A6" s="5" t="s">
        <v>2515</v>
      </c>
      <c r="B6" s="5" t="s">
        <v>2517</v>
      </c>
      <c r="C6" s="5" t="s">
        <v>197</v>
      </c>
      <c r="D6" s="5" t="n">
        <v>1</v>
      </c>
      <c r="E6" s="5"/>
    </row>
    <row r="7" customFormat="false" ht="15" hidden="false" customHeight="false" outlineLevel="0" collapsed="false">
      <c r="A7" s="5" t="s">
        <v>2518</v>
      </c>
      <c r="B7" s="5" t="s">
        <v>2519</v>
      </c>
      <c r="C7" s="5" t="s">
        <v>78</v>
      </c>
      <c r="D7" s="5" t="n">
        <v>1</v>
      </c>
      <c r="E7" s="5"/>
    </row>
    <row r="8" customFormat="false" ht="15" hidden="false" customHeight="false" outlineLevel="0" collapsed="false">
      <c r="A8" s="5" t="s">
        <v>2518</v>
      </c>
      <c r="B8" s="5" t="s">
        <v>2520</v>
      </c>
      <c r="C8" s="5" t="s">
        <v>2521</v>
      </c>
      <c r="D8" s="5" t="n">
        <v>2</v>
      </c>
      <c r="E8" s="5" t="s">
        <v>2522</v>
      </c>
    </row>
    <row r="9" customFormat="false" ht="15" hidden="false" customHeight="false" outlineLevel="0" collapsed="false">
      <c r="A9" s="5" t="s">
        <v>2518</v>
      </c>
      <c r="B9" s="5" t="s">
        <v>2523</v>
      </c>
      <c r="C9" s="5" t="s">
        <v>530</v>
      </c>
      <c r="D9" s="5" t="n">
        <v>1</v>
      </c>
      <c r="E9" s="5"/>
    </row>
    <row r="10" customFormat="false" ht="15" hidden="false" customHeight="false" outlineLevel="0" collapsed="false">
      <c r="A10" s="5" t="s">
        <v>2518</v>
      </c>
      <c r="B10" s="5" t="s">
        <v>2524</v>
      </c>
      <c r="C10" s="5" t="s">
        <v>2525</v>
      </c>
      <c r="D10" s="5" t="n">
        <v>5</v>
      </c>
      <c r="E10" s="5"/>
    </row>
    <row r="11" customFormat="false" ht="15" hidden="false" customHeight="false" outlineLevel="0" collapsed="false">
      <c r="A11" s="5" t="s">
        <v>2518</v>
      </c>
      <c r="B11" s="5" t="s">
        <v>2526</v>
      </c>
      <c r="C11" s="5" t="s">
        <v>62</v>
      </c>
      <c r="D11" s="5" t="n">
        <v>1</v>
      </c>
      <c r="E11" s="5"/>
    </row>
    <row r="12" customFormat="false" ht="15" hidden="false" customHeight="false" outlineLevel="0" collapsed="false">
      <c r="A12" s="5" t="s">
        <v>2518</v>
      </c>
      <c r="B12" s="5" t="s">
        <v>2527</v>
      </c>
      <c r="C12" s="5" t="s">
        <v>283</v>
      </c>
      <c r="D12" s="5" t="n">
        <v>1</v>
      </c>
      <c r="E12" s="5"/>
    </row>
    <row r="13" customFormat="false" ht="15" hidden="false" customHeight="false" outlineLevel="0" collapsed="false">
      <c r="A13" s="5" t="s">
        <v>2518</v>
      </c>
      <c r="B13" s="5" t="s">
        <v>2528</v>
      </c>
      <c r="C13" s="5" t="s">
        <v>331</v>
      </c>
      <c r="D13" s="5" t="n">
        <v>1</v>
      </c>
      <c r="E13" s="5"/>
    </row>
    <row r="14" customFormat="false" ht="15" hidden="false" customHeight="false" outlineLevel="0" collapsed="false">
      <c r="A14" s="5" t="s">
        <v>2529</v>
      </c>
      <c r="B14" s="5" t="s">
        <v>2530</v>
      </c>
      <c r="C14" s="5" t="s">
        <v>62</v>
      </c>
      <c r="D14" s="5" t="n">
        <v>1</v>
      </c>
      <c r="E14" s="5"/>
    </row>
    <row r="15" customFormat="false" ht="15" hidden="false" customHeight="false" outlineLevel="0" collapsed="false">
      <c r="A15" s="5" t="s">
        <v>2529</v>
      </c>
      <c r="B15" s="5" t="s">
        <v>2531</v>
      </c>
      <c r="C15" s="5" t="s">
        <v>2532</v>
      </c>
      <c r="D15" s="5" t="n">
        <v>2</v>
      </c>
      <c r="E15" s="5"/>
    </row>
    <row r="16" customFormat="false" ht="15" hidden="false" customHeight="false" outlineLevel="0" collapsed="false">
      <c r="A16" s="5" t="s">
        <v>2529</v>
      </c>
      <c r="B16" s="5" t="s">
        <v>2533</v>
      </c>
      <c r="C16" s="5" t="s">
        <v>755</v>
      </c>
      <c r="D16" s="5" t="n">
        <v>2</v>
      </c>
      <c r="E16" s="5"/>
    </row>
    <row r="17" customFormat="false" ht="15" hidden="false" customHeight="false" outlineLevel="0" collapsed="false">
      <c r="A17" s="5" t="s">
        <v>2529</v>
      </c>
      <c r="B17" s="5" t="s">
        <v>2534</v>
      </c>
      <c r="C17" s="5" t="s">
        <v>62</v>
      </c>
      <c r="D17" s="5" t="n">
        <v>1</v>
      </c>
      <c r="E17" s="5"/>
    </row>
    <row r="18" customFormat="false" ht="15" hidden="false" customHeight="false" outlineLevel="0" collapsed="false">
      <c r="A18" s="5" t="s">
        <v>2529</v>
      </c>
      <c r="B18" s="5" t="s">
        <v>2535</v>
      </c>
      <c r="C18" s="5" t="s">
        <v>2536</v>
      </c>
      <c r="D18" s="5" t="n">
        <v>5</v>
      </c>
      <c r="E18" s="5"/>
    </row>
    <row r="19" customFormat="false" ht="15" hidden="false" customHeight="false" outlineLevel="0" collapsed="false">
      <c r="A19" s="5" t="s">
        <v>2529</v>
      </c>
      <c r="B19" s="5" t="s">
        <v>2537</v>
      </c>
      <c r="C19" s="5" t="s">
        <v>197</v>
      </c>
      <c r="D19" s="5" t="n">
        <v>1</v>
      </c>
      <c r="E19" s="5" t="s">
        <v>2538</v>
      </c>
    </row>
    <row r="20" customFormat="false" ht="15" hidden="false" customHeight="false" outlineLevel="0" collapsed="false">
      <c r="A20" s="5" t="s">
        <v>2529</v>
      </c>
      <c r="B20" s="5" t="s">
        <v>2539</v>
      </c>
      <c r="C20" s="5" t="s">
        <v>242</v>
      </c>
      <c r="D20" s="5" t="n">
        <v>1</v>
      </c>
      <c r="E20" s="5"/>
    </row>
    <row r="21" customFormat="false" ht="15" hidden="false" customHeight="false" outlineLevel="0" collapsed="false">
      <c r="A21" s="5" t="s">
        <v>2529</v>
      </c>
      <c r="B21" s="5" t="s">
        <v>2540</v>
      </c>
      <c r="C21" s="5" t="s">
        <v>215</v>
      </c>
      <c r="D21" s="5" t="n">
        <v>1</v>
      </c>
      <c r="E21" s="5"/>
    </row>
    <row r="22" customFormat="false" ht="15" hidden="false" customHeight="false" outlineLevel="0" collapsed="false">
      <c r="A22" s="5" t="s">
        <v>2529</v>
      </c>
      <c r="B22" s="5" t="s">
        <v>2541</v>
      </c>
      <c r="C22" s="5" t="s">
        <v>78</v>
      </c>
      <c r="D22" s="5" t="n">
        <v>1</v>
      </c>
      <c r="E22" s="5"/>
    </row>
    <row r="23" customFormat="false" ht="15" hidden="false" customHeight="false" outlineLevel="0" collapsed="false">
      <c r="A23" s="5" t="s">
        <v>2529</v>
      </c>
      <c r="B23" s="5" t="s">
        <v>2542</v>
      </c>
      <c r="C23" s="5" t="s">
        <v>2543</v>
      </c>
      <c r="D23" s="5" t="n">
        <v>4</v>
      </c>
      <c r="E23" s="5" t="s">
        <v>2544</v>
      </c>
    </row>
    <row r="24" customFormat="false" ht="15" hidden="false" customHeight="false" outlineLevel="0" collapsed="false">
      <c r="A24" s="5" t="s">
        <v>2529</v>
      </c>
      <c r="B24" s="5" t="s">
        <v>2545</v>
      </c>
      <c r="C24" s="5" t="s">
        <v>2546</v>
      </c>
      <c r="D24" s="5" t="n">
        <v>3</v>
      </c>
      <c r="E24" s="5"/>
    </row>
    <row r="25" customFormat="false" ht="15" hidden="false" customHeight="false" outlineLevel="0" collapsed="false">
      <c r="A25" s="5" t="s">
        <v>2529</v>
      </c>
      <c r="B25" s="5" t="s">
        <v>2547</v>
      </c>
      <c r="C25" s="5" t="s">
        <v>870</v>
      </c>
      <c r="D25" s="5" t="n">
        <v>2</v>
      </c>
      <c r="E25" s="5" t="s">
        <v>2548</v>
      </c>
    </row>
    <row r="26" customFormat="false" ht="15" hidden="false" customHeight="false" outlineLevel="0" collapsed="false">
      <c r="A26" s="5" t="s">
        <v>2529</v>
      </c>
      <c r="B26" s="5" t="s">
        <v>2549</v>
      </c>
      <c r="C26" s="5" t="s">
        <v>414</v>
      </c>
      <c r="D26" s="5" t="n">
        <v>1</v>
      </c>
      <c r="E26" s="5"/>
    </row>
    <row r="27" customFormat="false" ht="15" hidden="false" customHeight="false" outlineLevel="0" collapsed="false">
      <c r="A27" s="5" t="s">
        <v>2529</v>
      </c>
      <c r="B27" s="5" t="s">
        <v>2550</v>
      </c>
      <c r="C27" s="5" t="s">
        <v>2551</v>
      </c>
      <c r="D27" s="5" t="n">
        <v>6</v>
      </c>
      <c r="E27" s="5"/>
    </row>
    <row r="28" customFormat="false" ht="15" hidden="false" customHeight="false" outlineLevel="0" collapsed="false">
      <c r="A28" s="5" t="s">
        <v>2529</v>
      </c>
      <c r="B28" s="5" t="s">
        <v>2552</v>
      </c>
      <c r="C28" s="5" t="s">
        <v>215</v>
      </c>
      <c r="D28" s="5" t="n">
        <v>1</v>
      </c>
      <c r="E28" s="5" t="s">
        <v>2553</v>
      </c>
    </row>
    <row r="29" customFormat="false" ht="15" hidden="false" customHeight="false" outlineLevel="0" collapsed="false">
      <c r="A29" s="5" t="s">
        <v>2529</v>
      </c>
      <c r="B29" s="5" t="s">
        <v>2554</v>
      </c>
      <c r="C29" s="5" t="s">
        <v>2555</v>
      </c>
      <c r="D29" s="5" t="n">
        <v>2</v>
      </c>
      <c r="E29" s="5"/>
    </row>
    <row r="30" customFormat="false" ht="15" hidden="false" customHeight="false" outlineLevel="0" collapsed="false">
      <c r="A30" s="5" t="s">
        <v>2529</v>
      </c>
      <c r="B30" s="5" t="s">
        <v>2556</v>
      </c>
      <c r="C30" s="5" t="s">
        <v>197</v>
      </c>
      <c r="D30" s="5" t="n">
        <v>1</v>
      </c>
      <c r="E30" s="5"/>
    </row>
    <row r="31" customFormat="false" ht="15" hidden="false" customHeight="false" outlineLevel="0" collapsed="false">
      <c r="A31" s="5" t="s">
        <v>2529</v>
      </c>
      <c r="B31" s="5" t="s">
        <v>2557</v>
      </c>
      <c r="C31" s="5" t="s">
        <v>62</v>
      </c>
      <c r="D31" s="5" t="n">
        <v>1</v>
      </c>
      <c r="E31" s="5"/>
    </row>
    <row r="32" customFormat="false" ht="15" hidden="false" customHeight="false" outlineLevel="0" collapsed="false">
      <c r="A32" s="5" t="s">
        <v>2529</v>
      </c>
      <c r="B32" s="5" t="s">
        <v>2558</v>
      </c>
      <c r="C32" s="5" t="s">
        <v>2559</v>
      </c>
      <c r="D32" s="5" t="n">
        <v>2</v>
      </c>
      <c r="E32" s="5"/>
    </row>
    <row r="33" customFormat="false" ht="15" hidden="false" customHeight="false" outlineLevel="0" collapsed="false">
      <c r="A33" s="5" t="s">
        <v>2529</v>
      </c>
      <c r="B33" s="5" t="s">
        <v>2560</v>
      </c>
      <c r="C33" s="5" t="s">
        <v>488</v>
      </c>
      <c r="D33" s="5" t="n">
        <v>1</v>
      </c>
      <c r="E33" s="5"/>
    </row>
    <row r="34" customFormat="false" ht="15" hidden="false" customHeight="false" outlineLevel="0" collapsed="false">
      <c r="A34" s="5" t="s">
        <v>2529</v>
      </c>
      <c r="B34" s="5" t="s">
        <v>2561</v>
      </c>
      <c r="C34" s="5" t="s">
        <v>488</v>
      </c>
      <c r="D34" s="5" t="n">
        <v>1</v>
      </c>
      <c r="E34" s="5"/>
    </row>
    <row r="35" customFormat="false" ht="15" hidden="false" customHeight="false" outlineLevel="0" collapsed="false">
      <c r="A35" s="5" t="s">
        <v>2529</v>
      </c>
      <c r="B35" s="5" t="s">
        <v>2562</v>
      </c>
      <c r="C35" s="5" t="s">
        <v>1014</v>
      </c>
      <c r="D35" s="5" t="n">
        <v>2</v>
      </c>
      <c r="E35" s="5"/>
    </row>
    <row r="36" customFormat="false" ht="15" hidden="false" customHeight="false" outlineLevel="0" collapsed="false">
      <c r="A36" s="5" t="s">
        <v>2529</v>
      </c>
      <c r="B36" s="5" t="s">
        <v>2563</v>
      </c>
      <c r="C36" s="5" t="s">
        <v>667</v>
      </c>
      <c r="D36" s="5" t="n">
        <v>1</v>
      </c>
      <c r="E36" s="5"/>
    </row>
    <row r="37" customFormat="false" ht="15" hidden="false" customHeight="false" outlineLevel="0" collapsed="false">
      <c r="A37" s="5" t="s">
        <v>2529</v>
      </c>
      <c r="B37" s="5" t="s">
        <v>2564</v>
      </c>
      <c r="C37" s="5" t="s">
        <v>331</v>
      </c>
      <c r="D37" s="5" t="n">
        <v>1</v>
      </c>
      <c r="E37" s="5"/>
    </row>
    <row r="38" customFormat="false" ht="15" hidden="false" customHeight="false" outlineLevel="0" collapsed="false">
      <c r="A38" s="5" t="s">
        <v>2529</v>
      </c>
      <c r="B38" s="5" t="s">
        <v>2565</v>
      </c>
      <c r="C38" s="5" t="s">
        <v>316</v>
      </c>
      <c r="D38" s="5" t="n">
        <v>1</v>
      </c>
      <c r="E38" s="5"/>
    </row>
    <row r="39" customFormat="false" ht="15" hidden="false" customHeight="false" outlineLevel="0" collapsed="false">
      <c r="A39" s="5" t="s">
        <v>2529</v>
      </c>
      <c r="B39" s="5" t="s">
        <v>2566</v>
      </c>
      <c r="C39" s="5" t="s">
        <v>197</v>
      </c>
      <c r="D39" s="5" t="n">
        <v>1</v>
      </c>
      <c r="E39" s="5"/>
    </row>
    <row r="40" customFormat="false" ht="15" hidden="false" customHeight="false" outlineLevel="0" collapsed="false">
      <c r="A40" s="5" t="s">
        <v>2567</v>
      </c>
      <c r="B40" s="5" t="s">
        <v>2568</v>
      </c>
      <c r="C40" s="5" t="s">
        <v>2569</v>
      </c>
      <c r="D40" s="5" t="n">
        <v>4</v>
      </c>
      <c r="E40" s="5" t="s">
        <v>2570</v>
      </c>
    </row>
    <row r="41" customFormat="false" ht="15" hidden="false" customHeight="false" outlineLevel="0" collapsed="false">
      <c r="A41" s="5" t="s">
        <v>2571</v>
      </c>
      <c r="B41" s="5" t="s">
        <v>2572</v>
      </c>
      <c r="C41" s="5" t="s">
        <v>123</v>
      </c>
      <c r="D41" s="5" t="n">
        <v>1</v>
      </c>
      <c r="E41" s="5"/>
    </row>
    <row r="42" customFormat="false" ht="15" hidden="false" customHeight="false" outlineLevel="0" collapsed="false">
      <c r="A42" s="5" t="s">
        <v>2573</v>
      </c>
      <c r="B42" s="5" t="s">
        <v>2574</v>
      </c>
      <c r="C42" s="5" t="s">
        <v>215</v>
      </c>
      <c r="D42" s="5" t="n">
        <v>1</v>
      </c>
      <c r="E42" s="5"/>
    </row>
    <row r="43" customFormat="false" ht="15" hidden="false" customHeight="false" outlineLevel="0" collapsed="false">
      <c r="A43" s="5" t="s">
        <v>2575</v>
      </c>
      <c r="B43" s="5" t="s">
        <v>2576</v>
      </c>
      <c r="C43" s="5" t="s">
        <v>2577</v>
      </c>
      <c r="D43" s="5" t="n">
        <v>2</v>
      </c>
      <c r="E43" s="5"/>
    </row>
    <row r="44" customFormat="false" ht="15" hidden="false" customHeight="false" outlineLevel="0" collapsed="false">
      <c r="A44" s="5" t="s">
        <v>2575</v>
      </c>
      <c r="B44" s="5" t="s">
        <v>2578</v>
      </c>
      <c r="C44" s="5" t="s">
        <v>197</v>
      </c>
      <c r="D44" s="5" t="n">
        <v>1</v>
      </c>
      <c r="E44" s="5"/>
    </row>
    <row r="45" customFormat="false" ht="15" hidden="false" customHeight="false" outlineLevel="0" collapsed="false">
      <c r="A45" s="5" t="s">
        <v>2575</v>
      </c>
      <c r="B45" s="5" t="s">
        <v>2579</v>
      </c>
      <c r="C45" s="5" t="s">
        <v>655</v>
      </c>
      <c r="D45" s="5" t="n">
        <v>1</v>
      </c>
      <c r="E45" s="5"/>
    </row>
  </sheetData>
  <autoFilter ref="A1:E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1" t="s">
        <v>2580</v>
      </c>
    </row>
    <row r="3" customFormat="false" ht="15" hidden="false" customHeight="false" outlineLevel="0" collapsed="false">
      <c r="A3" s="12" t="s">
        <v>2581</v>
      </c>
    </row>
    <row r="4" customFormat="false" ht="15" hidden="false" customHeight="false" outlineLevel="0" collapsed="false">
      <c r="A4" s="13" t="s">
        <v>20</v>
      </c>
      <c r="B4" s="13" t="s">
        <v>2582</v>
      </c>
    </row>
    <row r="5" customFormat="false" ht="15" hidden="false" customHeight="false" outlineLevel="0" collapsed="false">
      <c r="A5" s="14" t="s">
        <v>641</v>
      </c>
      <c r="B5" s="14" t="n">
        <f aca="false">COUNTIF(Backlog!$B$2:$B$58,A5)</f>
        <v>5</v>
      </c>
    </row>
    <row r="6" customFormat="false" ht="15" hidden="false" customHeight="false" outlineLevel="0" collapsed="false">
      <c r="A6" s="14" t="s">
        <v>45</v>
      </c>
      <c r="B6" s="14" t="n">
        <f aca="false">COUNTIF(Backlog!$B$2:$B$58,A6)</f>
        <v>11</v>
      </c>
    </row>
    <row r="7" customFormat="false" ht="15" hidden="false" customHeight="false" outlineLevel="0" collapsed="false">
      <c r="A7" s="14" t="s">
        <v>183</v>
      </c>
      <c r="B7" s="14" t="n">
        <f aca="false">COUNTIF(Backlog!$B$2:$B$58,A7)</f>
        <v>6</v>
      </c>
    </row>
    <row r="8" customFormat="false" ht="15" hidden="false" customHeight="false" outlineLevel="0" collapsed="false">
      <c r="A8" s="14" t="s">
        <v>284</v>
      </c>
      <c r="B8" s="14" t="n">
        <f aca="false">COUNTIF(Backlog!$B$2:$B$58,A8)</f>
        <v>8</v>
      </c>
    </row>
    <row r="9" customFormat="false" ht="15" hidden="false" customHeight="false" outlineLevel="0" collapsed="false">
      <c r="A9" s="14" t="s">
        <v>516</v>
      </c>
      <c r="B9" s="14" t="n">
        <f aca="false">COUNTIF(Backlog!$B$2:$B$58,A9)</f>
        <v>2</v>
      </c>
    </row>
    <row r="10" customFormat="false" ht="15" hidden="false" customHeight="false" outlineLevel="0" collapsed="false">
      <c r="A10" s="14" t="s">
        <v>356</v>
      </c>
      <c r="B10" s="14" t="n">
        <f aca="false">COUNTIF(Backlog!$B$2:$B$58,A10)</f>
        <v>16</v>
      </c>
    </row>
    <row r="11" customFormat="false" ht="15" hidden="false" customHeight="false" outlineLevel="0" collapsed="false">
      <c r="A11" s="14" t="s">
        <v>268</v>
      </c>
      <c r="B11" s="14" t="n">
        <f aca="false">COUNTIF(Backlog!$B$2:$B$58,A11)</f>
        <v>1</v>
      </c>
    </row>
    <row r="12" customFormat="false" ht="15" hidden="false" customHeight="false" outlineLevel="0" collapsed="false">
      <c r="A12" s="14" t="s">
        <v>540</v>
      </c>
      <c r="B12" s="14" t="n">
        <f aca="false">COUNTIF(Backlog!$B$2:$B$58,A12)</f>
        <v>8</v>
      </c>
    </row>
    <row r="13" customFormat="false" ht="15" hidden="false" customHeight="false" outlineLevel="0" collapsed="false">
      <c r="A13" s="14" t="s">
        <v>2583</v>
      </c>
      <c r="B13" s="14" t="n">
        <f aca="false">SUM(B5:B12)</f>
        <v>57</v>
      </c>
    </row>
    <row r="15" customFormat="false" ht="15" hidden="false" customHeight="false" outlineLevel="0" collapsed="false">
      <c r="A15" s="12" t="s">
        <v>2584</v>
      </c>
    </row>
    <row r="16" customFormat="false" ht="15" hidden="false" customHeight="false" outlineLevel="0" collapsed="false">
      <c r="A16" s="13" t="s">
        <v>24</v>
      </c>
      <c r="B16" s="13" t="s">
        <v>2582</v>
      </c>
    </row>
    <row r="17" customFormat="false" ht="15" hidden="false" customHeight="false" outlineLevel="0" collapsed="false">
      <c r="A17" s="14" t="s">
        <v>49</v>
      </c>
      <c r="B17" s="14" t="n">
        <f aca="false">COUNTIF(Backlog!$F$2:$F$58,A17)</f>
        <v>34</v>
      </c>
    </row>
    <row r="18" customFormat="false" ht="15" hidden="false" customHeight="false" outlineLevel="0" collapsed="false">
      <c r="A18" s="14" t="s">
        <v>107</v>
      </c>
      <c r="B18" s="14" t="n">
        <f aca="false">COUNTIF(Backlog!$F$2:$F$58,A18)</f>
        <v>17</v>
      </c>
    </row>
    <row r="19" customFormat="false" ht="15" hidden="false" customHeight="false" outlineLevel="0" collapsed="false">
      <c r="A19" s="14" t="s">
        <v>162</v>
      </c>
      <c r="B19" s="14" t="n">
        <f aca="false">COUNTIF(Backlog!$F$2:$F$58,A19)</f>
        <v>6</v>
      </c>
    </row>
    <row r="20" customFormat="false" ht="15" hidden="false" customHeight="false" outlineLevel="0" collapsed="false">
      <c r="A20" s="14" t="s">
        <v>2583</v>
      </c>
      <c r="B20" s="14" t="n">
        <f aca="false">SUM(B17:B19)</f>
        <v>57</v>
      </c>
    </row>
    <row r="22" customFormat="false" ht="15" hidden="false" customHeight="false" outlineLevel="0" collapsed="false">
      <c r="A22" s="12" t="s">
        <v>2585</v>
      </c>
    </row>
    <row r="23" customFormat="false" ht="15" hidden="false" customHeight="false" outlineLevel="0" collapsed="false">
      <c r="A23" s="13" t="s">
        <v>25</v>
      </c>
      <c r="B23" s="13" t="s">
        <v>2582</v>
      </c>
    </row>
    <row r="24" customFormat="false" ht="15" hidden="false" customHeight="false" outlineLevel="0" collapsed="false">
      <c r="A24" s="14" t="n">
        <v>0</v>
      </c>
      <c r="B24" s="14" t="n">
        <f aca="false">COUNTIF(Backlog!$G$2:$G$58,A24)</f>
        <v>6</v>
      </c>
    </row>
    <row r="25" customFormat="false" ht="15" hidden="false" customHeight="false" outlineLevel="0" collapsed="false">
      <c r="A25" s="14" t="n">
        <v>1</v>
      </c>
      <c r="B25" s="14" t="n">
        <f aca="false">COUNTIF(Backlog!$G$2:$G$58,A25)</f>
        <v>11</v>
      </c>
    </row>
    <row r="26" customFormat="false" ht="15" hidden="false" customHeight="false" outlineLevel="0" collapsed="false">
      <c r="A26" s="14" t="n">
        <v>2</v>
      </c>
      <c r="B26" s="14" t="n">
        <f aca="false">COUNTIF(Backlog!$G$2:$G$58,A26)</f>
        <v>12</v>
      </c>
    </row>
    <row r="27" customFormat="false" ht="15" hidden="false" customHeight="false" outlineLevel="0" collapsed="false">
      <c r="A27" s="14" t="n">
        <v>3</v>
      </c>
      <c r="B27" s="14" t="n">
        <f aca="false">COUNTIF(Backlog!$G$2:$G$58,A27)</f>
        <v>16</v>
      </c>
    </row>
    <row r="28" customFormat="false" ht="15" hidden="false" customHeight="false" outlineLevel="0" collapsed="false">
      <c r="A28" s="14" t="n">
        <v>4</v>
      </c>
      <c r="B28" s="14" t="n">
        <f aca="false">COUNTIF(Backlog!$G$2:$G$58,A28)</f>
        <v>12</v>
      </c>
    </row>
    <row r="29" customFormat="false" ht="15" hidden="false" customHeight="false" outlineLevel="0" collapsed="false">
      <c r="A29" s="14" t="s">
        <v>2583</v>
      </c>
      <c r="B29" s="14" t="n">
        <f aca="false">SUM(B24:B28)</f>
        <v>57</v>
      </c>
    </row>
    <row r="31" customFormat="false" ht="15" hidden="false" customHeight="false" outlineLevel="0" collapsed="false">
      <c r="A31" s="12" t="s">
        <v>2586</v>
      </c>
    </row>
    <row r="32" customFormat="false" ht="15" hidden="false" customHeight="false" outlineLevel="0" collapsed="false">
      <c r="A32" s="13" t="s">
        <v>1054</v>
      </c>
      <c r="B32" s="13" t="s">
        <v>2582</v>
      </c>
    </row>
    <row r="33" customFormat="false" ht="15" hidden="false" customHeight="false" outlineLevel="0" collapsed="false">
      <c r="A33" s="14" t="s">
        <v>108</v>
      </c>
      <c r="B33" s="14" t="n">
        <f aca="false">COUNTIF(Backlog!$I$2:$I$58,A33)</f>
        <v>26</v>
      </c>
    </row>
    <row r="34" customFormat="false" ht="15" hidden="false" customHeight="false" outlineLevel="0" collapsed="false">
      <c r="A34" s="14" t="s">
        <v>51</v>
      </c>
      <c r="B34" s="14" t="n">
        <f aca="false">COUNTIF(Backlog!$I$2:$I$58,A34)</f>
        <v>22</v>
      </c>
    </row>
    <row r="35" customFormat="false" ht="15" hidden="false" customHeight="false" outlineLevel="0" collapsed="false">
      <c r="A35" s="14" t="s">
        <v>319</v>
      </c>
      <c r="B35" s="14" t="n">
        <f aca="false">COUNTIF(Backlog!$I$2:$I$58,A35)</f>
        <v>9</v>
      </c>
    </row>
    <row r="36" customFormat="false" ht="15" hidden="false" customHeight="false" outlineLevel="0" collapsed="false">
      <c r="A36" s="14" t="s">
        <v>2583</v>
      </c>
      <c r="B36" s="14" t="n">
        <f aca="false">SUM(B33:B35)</f>
        <v>57</v>
      </c>
    </row>
    <row r="38" customFormat="false" ht="15" hidden="false" customHeight="false" outlineLevel="0" collapsed="false">
      <c r="A38" s="12" t="s">
        <v>2587</v>
      </c>
    </row>
    <row r="39" customFormat="false" ht="15" hidden="false" customHeight="false" outlineLevel="0" collapsed="false">
      <c r="A39" s="13" t="s">
        <v>22</v>
      </c>
      <c r="B39" s="13" t="s">
        <v>2582</v>
      </c>
    </row>
    <row r="40" customFormat="false" ht="15" hidden="false" customHeight="false" outlineLevel="0" collapsed="false">
      <c r="A40" s="14" t="s">
        <v>47</v>
      </c>
      <c r="B40" s="14" t="n">
        <f aca="false">COUNTIF(Backlog!$D$2:$D$58,A40)</f>
        <v>30</v>
      </c>
    </row>
    <row r="41" customFormat="false" ht="15" hidden="false" customHeight="false" outlineLevel="0" collapsed="false">
      <c r="A41" s="14" t="s">
        <v>606</v>
      </c>
      <c r="B41" s="14" t="n">
        <f aca="false">COUNTIF(Backlog!$D$2:$D$58,A41)</f>
        <v>1</v>
      </c>
    </row>
    <row r="42" customFormat="false" ht="15" hidden="false" customHeight="false" outlineLevel="0" collapsed="false">
      <c r="A42" s="14" t="s">
        <v>125</v>
      </c>
      <c r="B42" s="14" t="n">
        <f aca="false">COUNTIF(Backlog!$D$2:$D$58,A42)</f>
        <v>8</v>
      </c>
    </row>
    <row r="43" customFormat="false" ht="15" hidden="false" customHeight="false" outlineLevel="0" collapsed="false">
      <c r="A43" s="14" t="s">
        <v>147</v>
      </c>
      <c r="B43" s="14" t="n">
        <f aca="false">COUNTIF(Backlog!$D$2:$D$58,A43)</f>
        <v>10</v>
      </c>
    </row>
    <row r="44" customFormat="false" ht="15" hidden="false" customHeight="false" outlineLevel="0" collapsed="false">
      <c r="A44" s="14" t="s">
        <v>172</v>
      </c>
      <c r="B44" s="14" t="n">
        <f aca="false">COUNTIF(Backlog!$D$2:$D$58,A44)</f>
        <v>8</v>
      </c>
    </row>
    <row r="45" customFormat="false" ht="15" hidden="false" customHeight="false" outlineLevel="0" collapsed="false">
      <c r="A45" s="14" t="s">
        <v>2583</v>
      </c>
      <c r="B45" s="14" t="n">
        <f aca="false">SUM(B40:B44)</f>
        <v>57</v>
      </c>
    </row>
    <row r="47" customFormat="false" ht="15" hidden="false" customHeight="false" outlineLevel="0" collapsed="false">
      <c r="A47" s="12" t="s">
        <v>2588</v>
      </c>
    </row>
    <row r="48" customFormat="false" ht="15" hidden="false" customHeight="false" outlineLevel="0" collapsed="false">
      <c r="A48" s="13" t="s">
        <v>1236</v>
      </c>
      <c r="B48" s="13" t="s">
        <v>2582</v>
      </c>
    </row>
    <row r="49" customFormat="false" ht="15" hidden="false" customHeight="false" outlineLevel="0" collapsed="false">
      <c r="A49" s="14" t="s">
        <v>2589</v>
      </c>
      <c r="B49" s="14" t="n">
        <f aca="false">COUNTIF(Trace_Matrix!$M$2:$M$1000,A49)</f>
        <v>76</v>
      </c>
    </row>
    <row r="50" customFormat="false" ht="15" hidden="false" customHeight="false" outlineLevel="0" collapsed="false">
      <c r="A50" s="14" t="s">
        <v>2590</v>
      </c>
      <c r="B50" s="14" t="n">
        <f aca="false">COUNTIF(Trace_Matrix!$M$2:$M$1000,A50)</f>
        <v>0</v>
      </c>
    </row>
    <row r="51" customFormat="false" ht="15" hidden="false" customHeight="false" outlineLevel="0" collapsed="false">
      <c r="A51" s="14" t="s">
        <v>2591</v>
      </c>
      <c r="B51" s="14" t="n">
        <f aca="false">COUNTIF(Trace_Matrix!$M$2:$M$1000,A51)</f>
        <v>0</v>
      </c>
    </row>
    <row r="52" customFormat="false" ht="15" hidden="false" customHeight="false" outlineLevel="0" collapsed="false">
      <c r="A52" s="14" t="s">
        <v>2592</v>
      </c>
      <c r="B52" s="14" t="n">
        <f aca="false">COUNTIF(Trace_Matrix!$M$2:$M$1000,A52)</f>
        <v>0</v>
      </c>
    </row>
    <row r="53" customFormat="false" ht="15" hidden="false" customHeight="false" outlineLevel="0" collapsed="false">
      <c r="A53" s="14" t="s">
        <v>2583</v>
      </c>
      <c r="B53" s="14" t="n">
        <f aca="false">SUM(B49:B52)</f>
        <v>76</v>
      </c>
    </row>
    <row r="54" customFormat="false" ht="15" hidden="false" customHeight="false" outlineLevel="0" collapsed="false">
      <c r="A54" s="14" t="s">
        <v>2593</v>
      </c>
      <c r="B54" s="14" t="n">
        <f aca="false">COUNTA(Trace_Matrix!$A$2:$A$77)</f>
        <v>76</v>
      </c>
    </row>
    <row r="56" customFormat="false" ht="15" hidden="false" customHeight="false" outlineLevel="0" collapsed="false">
      <c r="A56" s="12" t="s">
        <v>2594</v>
      </c>
    </row>
    <row r="57" customFormat="false" ht="15" hidden="false" customHeight="false" outlineLevel="0" collapsed="false">
      <c r="A57" s="13" t="s">
        <v>1403</v>
      </c>
      <c r="B57" s="13" t="s">
        <v>2582</v>
      </c>
    </row>
    <row r="58" customFormat="false" ht="15" hidden="false" customHeight="false" outlineLevel="0" collapsed="false">
      <c r="A58" s="14" t="s">
        <v>1410</v>
      </c>
      <c r="B58" s="14" t="n">
        <f aca="false">COUNTIF(Test_Cases!$E$2:$E$1000,A58)</f>
        <v>57</v>
      </c>
    </row>
    <row r="59" customFormat="false" ht="15" hidden="false" customHeight="false" outlineLevel="0" collapsed="false">
      <c r="A59" s="14" t="s">
        <v>1439</v>
      </c>
      <c r="B59" s="14" t="n">
        <f aca="false">COUNTIF(Test_Cases!$E$2:$E$1000,A59)</f>
        <v>89</v>
      </c>
    </row>
    <row r="60" customFormat="false" ht="15" hidden="false" customHeight="false" outlineLevel="0" collapsed="false">
      <c r="A60" s="14" t="s">
        <v>1418</v>
      </c>
      <c r="B60" s="14" t="n">
        <f aca="false">COUNTIF(Test_Cases!$E$2:$E$1000,A60)</f>
        <v>30</v>
      </c>
    </row>
    <row r="61" customFormat="false" ht="15" hidden="false" customHeight="false" outlineLevel="0" collapsed="false">
      <c r="A61" s="14" t="s">
        <v>1480</v>
      </c>
      <c r="B61" s="14" t="n">
        <f aca="false">COUNTIF(Test_Cases!$E$2:$E$1000,A61)</f>
        <v>33</v>
      </c>
    </row>
    <row r="62" customFormat="false" ht="15" hidden="false" customHeight="false" outlineLevel="0" collapsed="false">
      <c r="A62" s="14" t="s">
        <v>1424</v>
      </c>
      <c r="B62" s="14" t="n">
        <f aca="false">COUNTIF(Test_Cases!$E$2:$E$1000,A62)</f>
        <v>38</v>
      </c>
    </row>
    <row r="63" customFormat="false" ht="15" hidden="false" customHeight="false" outlineLevel="0" collapsed="false">
      <c r="A63" s="14" t="s">
        <v>1553</v>
      </c>
      <c r="B63" s="14" t="n">
        <f aca="false">COUNTIF(Test_Cases!$E$2:$E$1000,A63)</f>
        <v>18</v>
      </c>
    </row>
    <row r="64" customFormat="false" ht="15" hidden="false" customHeight="false" outlineLevel="0" collapsed="false">
      <c r="A64" s="14" t="s">
        <v>1338</v>
      </c>
      <c r="B64" s="14" t="n">
        <f aca="false">COUNTIF(Test_Cases!$E$2:$E$1000,A64)</f>
        <v>31</v>
      </c>
    </row>
    <row r="65" customFormat="false" ht="15" hidden="false" customHeight="false" outlineLevel="0" collapsed="false">
      <c r="A65" s="14" t="s">
        <v>2177</v>
      </c>
      <c r="B65" s="14" t="n">
        <f aca="false">COUNTIF(Test_Cases!$E$2:$E$1000,A65)</f>
        <v>15</v>
      </c>
    </row>
    <row r="66" customFormat="false" ht="15" hidden="false" customHeight="false" outlineLevel="0" collapsed="false">
      <c r="A66" s="14" t="s">
        <v>2583</v>
      </c>
      <c r="B66" s="14" t="n">
        <f aca="false">SUM(B58:B65)</f>
        <v>311</v>
      </c>
    </row>
    <row r="68" customFormat="false" ht="15" hidden="false" customHeight="false" outlineLevel="0" collapsed="false">
      <c r="A68" s="12" t="s">
        <v>2595</v>
      </c>
    </row>
    <row r="69" customFormat="false" ht="15" hidden="false" customHeight="false" outlineLevel="0" collapsed="false">
      <c r="A69" s="13" t="s">
        <v>2596</v>
      </c>
      <c r="B69" s="13" t="s">
        <v>2582</v>
      </c>
    </row>
    <row r="70" customFormat="false" ht="15" hidden="false" customHeight="false" outlineLevel="0" collapsed="false">
      <c r="A70" s="14" t="s">
        <v>2283</v>
      </c>
      <c r="B70" s="14" t="n">
        <f aca="false">COUNTIF(Gaps_Decisions!$F$2:$F$1000,A70)</f>
        <v>25</v>
      </c>
    </row>
    <row r="71" customFormat="false" ht="15" hidden="false" customHeight="false" outlineLevel="0" collapsed="false">
      <c r="A71" s="14" t="s">
        <v>2300</v>
      </c>
      <c r="B71" s="14" t="n">
        <f aca="false">COUNTIF(Gaps_Decisions!$F$2:$F$1000,A71)</f>
        <v>3</v>
      </c>
    </row>
    <row r="72" customFormat="false" ht="15" hidden="false" customHeight="false" outlineLevel="0" collapsed="false">
      <c r="A72" s="14" t="s">
        <v>2366</v>
      </c>
      <c r="B72" s="14" t="n">
        <f aca="false">COUNTIF(Gaps_Decisions!$F$2:$F$1000,A72)</f>
        <v>2</v>
      </c>
    </row>
    <row r="73" customFormat="false" ht="15" hidden="false" customHeight="false" outlineLevel="0" collapsed="false">
      <c r="A73" s="14" t="s">
        <v>2583</v>
      </c>
      <c r="B73" s="14" t="n">
        <f aca="false">SUM(B70:B72)</f>
        <v>30</v>
      </c>
    </row>
    <row r="75" customFormat="false" ht="15" hidden="false" customHeight="false" outlineLevel="0" collapsed="false">
      <c r="A75" s="14" t="s">
        <v>2597</v>
      </c>
      <c r="B75" s="14" t="n">
        <f aca="false">COUNTIF(Backlog!$Y$2:$Y$58,"NO TEST")</f>
        <v>0</v>
      </c>
    </row>
    <row r="76" customFormat="false" ht="15" hidden="false" customHeight="false" outlineLevel="0" collapsed="false">
      <c r="A76" s="14" t="s">
        <v>2598</v>
      </c>
      <c r="B76" s="14" t="n">
        <f aca="false">COUNTIF(DB_Trace!$G$2:$G$20,"&lt;&gt;OK")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2599</v>
      </c>
      <c r="B1" s="4" t="s">
        <v>2600</v>
      </c>
      <c r="C1" s="4" t="s">
        <v>2601</v>
      </c>
      <c r="D1" s="4" t="s">
        <v>2602</v>
      </c>
    </row>
    <row r="2" customFormat="false" ht="22.35" hidden="false" customHeight="false" outlineLevel="0" collapsed="false">
      <c r="A2" s="5" t="s">
        <v>2603</v>
      </c>
      <c r="B2" s="5" t="s">
        <v>2604</v>
      </c>
      <c r="C2" s="5" t="s">
        <v>2605</v>
      </c>
      <c r="D2" s="5" t="s">
        <v>2606</v>
      </c>
    </row>
    <row r="3" customFormat="false" ht="22.35" hidden="false" customHeight="false" outlineLevel="0" collapsed="false">
      <c r="A3" s="5" t="s">
        <v>2603</v>
      </c>
      <c r="B3" s="5" t="s">
        <v>2607</v>
      </c>
      <c r="C3" s="5" t="s">
        <v>2608</v>
      </c>
      <c r="D3" s="5" t="s">
        <v>2609</v>
      </c>
    </row>
    <row r="4" customFormat="false" ht="15" hidden="false" customHeight="false" outlineLevel="0" collapsed="false">
      <c r="A4" s="5" t="s">
        <v>2610</v>
      </c>
      <c r="B4" s="5" t="s">
        <v>2611</v>
      </c>
      <c r="C4" s="5" t="s">
        <v>2612</v>
      </c>
      <c r="D4" s="5" t="s">
        <v>2613</v>
      </c>
    </row>
    <row r="5" customFormat="false" ht="22.35" hidden="false" customHeight="false" outlineLevel="0" collapsed="false">
      <c r="A5" s="5" t="s">
        <v>2610</v>
      </c>
      <c r="B5" s="5" t="s">
        <v>2614</v>
      </c>
      <c r="C5" s="5" t="s">
        <v>2615</v>
      </c>
      <c r="D5" s="5" t="s">
        <v>2616</v>
      </c>
    </row>
    <row r="6" customFormat="false" ht="15" hidden="false" customHeight="false" outlineLevel="0" collapsed="false">
      <c r="A6" s="5" t="s">
        <v>2610</v>
      </c>
      <c r="B6" s="5" t="s">
        <v>2617</v>
      </c>
      <c r="C6" s="5" t="s">
        <v>2618</v>
      </c>
      <c r="D6" s="5" t="s">
        <v>2619</v>
      </c>
    </row>
    <row r="7" customFormat="false" ht="22.35" hidden="false" customHeight="false" outlineLevel="0" collapsed="false">
      <c r="A7" s="5" t="s">
        <v>2610</v>
      </c>
      <c r="B7" s="5" t="s">
        <v>2620</v>
      </c>
      <c r="C7" s="5" t="s">
        <v>2621</v>
      </c>
      <c r="D7" s="5" t="s">
        <v>2622</v>
      </c>
    </row>
    <row r="8" customFormat="false" ht="15" hidden="false" customHeight="false" outlineLevel="0" collapsed="false">
      <c r="A8" s="5" t="s">
        <v>2610</v>
      </c>
      <c r="B8" s="5" t="s">
        <v>2623</v>
      </c>
      <c r="C8" s="5" t="s">
        <v>2624</v>
      </c>
      <c r="D8" s="5" t="s">
        <v>2625</v>
      </c>
    </row>
    <row r="9" customFormat="false" ht="15" hidden="false" customHeight="false" outlineLevel="0" collapsed="false">
      <c r="A9" s="5" t="s">
        <v>2610</v>
      </c>
      <c r="B9" s="5" t="s">
        <v>2626</v>
      </c>
      <c r="C9" s="5" t="s">
        <v>2627</v>
      </c>
      <c r="D9" s="5" t="s">
        <v>2628</v>
      </c>
    </row>
    <row r="10" customFormat="false" ht="15" hidden="false" customHeight="false" outlineLevel="0" collapsed="false">
      <c r="A10" s="5" t="s">
        <v>2610</v>
      </c>
      <c r="B10" s="5" t="s">
        <v>2629</v>
      </c>
      <c r="C10" s="5" t="s">
        <v>2630</v>
      </c>
      <c r="D10" s="5" t="s">
        <v>2631</v>
      </c>
    </row>
    <row r="11" customFormat="false" ht="15" hidden="false" customHeight="false" outlineLevel="0" collapsed="false">
      <c r="A11" s="5" t="s">
        <v>2610</v>
      </c>
      <c r="B11" s="5" t="s">
        <v>2632</v>
      </c>
      <c r="C11" s="5" t="s">
        <v>2633</v>
      </c>
      <c r="D11" s="5" t="s">
        <v>2634</v>
      </c>
    </row>
    <row r="12" customFormat="false" ht="15" hidden="false" customHeight="false" outlineLevel="0" collapsed="false">
      <c r="A12" s="5" t="s">
        <v>2635</v>
      </c>
      <c r="B12" s="5" t="s">
        <v>2636</v>
      </c>
      <c r="C12" s="5" t="s">
        <v>2637</v>
      </c>
      <c r="D12" s="5" t="s">
        <v>2638</v>
      </c>
    </row>
    <row r="13" customFormat="false" ht="15" hidden="false" customHeight="false" outlineLevel="0" collapsed="false">
      <c r="A13" s="5" t="s">
        <v>2635</v>
      </c>
      <c r="B13" s="5" t="s">
        <v>2639</v>
      </c>
      <c r="C13" s="5" t="s">
        <v>2640</v>
      </c>
      <c r="D13" s="5" t="s">
        <v>2641</v>
      </c>
    </row>
    <row r="14" customFormat="false" ht="15" hidden="false" customHeight="false" outlineLevel="0" collapsed="false">
      <c r="A14" s="5" t="s">
        <v>2635</v>
      </c>
      <c r="B14" s="5" t="s">
        <v>2642</v>
      </c>
      <c r="C14" s="5" t="s">
        <v>2643</v>
      </c>
      <c r="D14" s="5" t="s">
        <v>2644</v>
      </c>
    </row>
    <row r="15" customFormat="false" ht="15" hidden="false" customHeight="false" outlineLevel="0" collapsed="false">
      <c r="A15" s="5" t="s">
        <v>2635</v>
      </c>
      <c r="B15" s="5" t="s">
        <v>2645</v>
      </c>
      <c r="C15" s="5" t="s">
        <v>2646</v>
      </c>
      <c r="D15" s="5" t="s">
        <v>2647</v>
      </c>
    </row>
    <row r="16" customFormat="false" ht="22.35" hidden="false" customHeight="false" outlineLevel="0" collapsed="false">
      <c r="A16" s="5" t="s">
        <v>2635</v>
      </c>
      <c r="B16" s="5" t="s">
        <v>2648</v>
      </c>
      <c r="C16" s="5" t="s">
        <v>2649</v>
      </c>
      <c r="D16" s="5" t="s">
        <v>2650</v>
      </c>
    </row>
    <row r="17" customFormat="false" ht="15" hidden="false" customHeight="false" outlineLevel="0" collapsed="false">
      <c r="A17" s="5" t="s">
        <v>2303</v>
      </c>
      <c r="B17" s="5" t="s">
        <v>2651</v>
      </c>
      <c r="C17" s="5" t="s">
        <v>2652</v>
      </c>
      <c r="D17" s="5" t="s">
        <v>2653</v>
      </c>
    </row>
    <row r="18" customFormat="false" ht="22.35" hidden="false" customHeight="false" outlineLevel="0" collapsed="false">
      <c r="A18" s="5" t="s">
        <v>2303</v>
      </c>
      <c r="B18" s="5" t="s">
        <v>2654</v>
      </c>
      <c r="C18" s="5" t="s">
        <v>2655</v>
      </c>
      <c r="D18" s="5" t="s">
        <v>2656</v>
      </c>
    </row>
    <row r="19" customFormat="false" ht="15" hidden="false" customHeight="false" outlineLevel="0" collapsed="false">
      <c r="A19" s="5" t="s">
        <v>2657</v>
      </c>
      <c r="B19" s="5" t="s">
        <v>2658</v>
      </c>
      <c r="C19" s="5" t="s">
        <v>2659</v>
      </c>
      <c r="D19" s="5" t="s">
        <v>2660</v>
      </c>
    </row>
    <row r="20" customFormat="false" ht="15" hidden="false" customHeight="false" outlineLevel="0" collapsed="false">
      <c r="A20" s="5" t="s">
        <v>2657</v>
      </c>
      <c r="B20" s="5" t="s">
        <v>2661</v>
      </c>
      <c r="C20" s="5" t="s">
        <v>2662</v>
      </c>
      <c r="D20" s="5" t="s">
        <v>2663</v>
      </c>
    </row>
    <row r="21" customFormat="false" ht="15" hidden="false" customHeight="false" outlineLevel="0" collapsed="false">
      <c r="A21" s="5" t="s">
        <v>2664</v>
      </c>
      <c r="B21" s="5" t="s">
        <v>2665</v>
      </c>
      <c r="C21" s="5" t="s">
        <v>2666</v>
      </c>
      <c r="D21" s="5" t="s">
        <v>2667</v>
      </c>
    </row>
    <row r="22" customFormat="false" ht="15" hidden="false" customHeight="false" outlineLevel="0" collapsed="false">
      <c r="A22" s="5" t="s">
        <v>2664</v>
      </c>
      <c r="B22" s="5" t="s">
        <v>2668</v>
      </c>
      <c r="C22" s="5" t="s">
        <v>2669</v>
      </c>
      <c r="D22" s="5" t="s">
        <v>2670</v>
      </c>
    </row>
    <row r="23" customFormat="false" ht="15" hidden="false" customHeight="false" outlineLevel="0" collapsed="false">
      <c r="A23" s="5" t="s">
        <v>2664</v>
      </c>
      <c r="B23" s="5" t="s">
        <v>2671</v>
      </c>
      <c r="C23" s="5" t="s">
        <v>2672</v>
      </c>
      <c r="D23" s="5" t="s">
        <v>2673</v>
      </c>
    </row>
    <row r="24" customFormat="false" ht="15" hidden="false" customHeight="false" outlineLevel="0" collapsed="false">
      <c r="A24" s="5" t="s">
        <v>2664</v>
      </c>
      <c r="B24" s="5" t="s">
        <v>2674</v>
      </c>
      <c r="C24" s="5" t="s">
        <v>2675</v>
      </c>
      <c r="D24" s="5" t="s">
        <v>2676</v>
      </c>
    </row>
    <row r="25" customFormat="false" ht="22.35" hidden="false" customHeight="false" outlineLevel="0" collapsed="false">
      <c r="A25" s="5" t="s">
        <v>2677</v>
      </c>
      <c r="B25" s="5" t="s">
        <v>2678</v>
      </c>
      <c r="C25" s="5" t="s">
        <v>2679</v>
      </c>
      <c r="D25" s="5" t="s">
        <v>2680</v>
      </c>
    </row>
    <row r="26" customFormat="false" ht="15" hidden="false" customHeight="false" outlineLevel="0" collapsed="false">
      <c r="A26" s="5" t="s">
        <v>2677</v>
      </c>
      <c r="B26" s="5" t="s">
        <v>601</v>
      </c>
      <c r="C26" s="5" t="s">
        <v>2681</v>
      </c>
      <c r="D26" s="5" t="s">
        <v>2682</v>
      </c>
    </row>
    <row r="27" customFormat="false" ht="32.8" hidden="false" customHeight="false" outlineLevel="0" collapsed="false">
      <c r="A27" s="5" t="s">
        <v>2683</v>
      </c>
      <c r="B27" s="5" t="s">
        <v>2684</v>
      </c>
      <c r="C27" s="5" t="s">
        <v>2685</v>
      </c>
      <c r="D27" s="5" t="s">
        <v>2686</v>
      </c>
    </row>
    <row r="28" customFormat="false" ht="22.35" hidden="false" customHeight="false" outlineLevel="0" collapsed="false">
      <c r="A28" s="5" t="s">
        <v>2683</v>
      </c>
      <c r="B28" s="5" t="s">
        <v>1052</v>
      </c>
      <c r="C28" s="5" t="s">
        <v>2687</v>
      </c>
      <c r="D28" s="5" t="s">
        <v>2688</v>
      </c>
    </row>
    <row r="29" customFormat="false" ht="15" hidden="false" customHeight="false" outlineLevel="0" collapsed="false">
      <c r="A29" s="5" t="s">
        <v>2689</v>
      </c>
      <c r="B29" s="5" t="s">
        <v>2690</v>
      </c>
      <c r="C29" s="5" t="s">
        <v>2691</v>
      </c>
      <c r="D29" s="5" t="s">
        <v>2692</v>
      </c>
    </row>
    <row r="30" customFormat="false" ht="15" hidden="false" customHeight="false" outlineLevel="0" collapsed="false">
      <c r="A30" s="5" t="s">
        <v>2283</v>
      </c>
      <c r="B30" s="5" t="s">
        <v>2693</v>
      </c>
      <c r="C30" s="5" t="s">
        <v>2694</v>
      </c>
      <c r="D30" s="5" t="s">
        <v>2695</v>
      </c>
    </row>
    <row r="31" customFormat="false" ht="43.25" hidden="false" customHeight="false" outlineLevel="0" collapsed="false">
      <c r="A31" s="5" t="s">
        <v>2677</v>
      </c>
      <c r="B31" s="5" t="s">
        <v>2696</v>
      </c>
      <c r="C31" s="5" t="s">
        <v>2697</v>
      </c>
      <c r="D31" s="5" t="s">
        <v>2698</v>
      </c>
    </row>
    <row r="32" customFormat="false" ht="22.35" hidden="false" customHeight="false" outlineLevel="0" collapsed="false">
      <c r="A32" s="5" t="s">
        <v>2677</v>
      </c>
      <c r="B32" s="5" t="s">
        <v>2699</v>
      </c>
      <c r="C32" s="5" t="s">
        <v>2700</v>
      </c>
      <c r="D32" s="5" t="s">
        <v>2701</v>
      </c>
    </row>
    <row r="33" customFormat="false" ht="252.2" hidden="false" customHeight="false" outlineLevel="0" collapsed="false">
      <c r="A33" s="5" t="s">
        <v>2702</v>
      </c>
      <c r="B33" s="5" t="s">
        <v>2703</v>
      </c>
      <c r="C33" s="15" t="s">
        <v>2704</v>
      </c>
      <c r="D33" s="5" t="s">
        <v>2705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8"/>
    <col collapsed="false" customWidth="true" hidden="false" outlineLevel="0" max="8" min="8" style="0" width="60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2" min="12" style="0" width="9"/>
  </cols>
  <sheetData>
    <row r="1" customFormat="false" ht="23.85" hidden="false" customHeight="false" outlineLevel="0" collapsed="false">
      <c r="A1" s="4" t="s">
        <v>2706</v>
      </c>
      <c r="B1" s="4" t="s">
        <v>2707</v>
      </c>
      <c r="C1" s="4" t="s">
        <v>2708</v>
      </c>
      <c r="D1" s="4" t="s">
        <v>2709</v>
      </c>
      <c r="E1" s="4" t="s">
        <v>2710</v>
      </c>
      <c r="F1" s="4" t="s">
        <v>2711</v>
      </c>
      <c r="G1" s="4" t="s">
        <v>2712</v>
      </c>
      <c r="H1" s="4" t="s">
        <v>2713</v>
      </c>
      <c r="I1" s="4" t="s">
        <v>2714</v>
      </c>
      <c r="J1" s="4" t="s">
        <v>1233</v>
      </c>
      <c r="K1" s="4" t="s">
        <v>2715</v>
      </c>
      <c r="L1" s="4" t="s">
        <v>2716</v>
      </c>
    </row>
    <row r="2" customFormat="false" ht="210.4" hidden="false" customHeight="false" outlineLevel="0" collapsed="false">
      <c r="A2" s="5" t="s">
        <v>1238</v>
      </c>
      <c r="B2" s="5" t="s">
        <v>2717</v>
      </c>
      <c r="C2" s="5" t="s">
        <v>2615</v>
      </c>
      <c r="D2" s="5" t="s">
        <v>2718</v>
      </c>
      <c r="E2" s="5" t="s">
        <v>45</v>
      </c>
      <c r="F2" s="5" t="s">
        <v>99</v>
      </c>
      <c r="G2" s="15" t="s">
        <v>2719</v>
      </c>
      <c r="H2" s="15" t="s">
        <v>2720</v>
      </c>
      <c r="I2" s="5" t="s">
        <v>62</v>
      </c>
      <c r="J2" s="5" t="s">
        <v>1240</v>
      </c>
      <c r="K2" s="5" t="s">
        <v>1241</v>
      </c>
      <c r="L2" s="5" t="s">
        <v>2721</v>
      </c>
    </row>
    <row r="3" customFormat="false" ht="252.2" hidden="false" customHeight="false" outlineLevel="0" collapsed="false">
      <c r="A3" s="5" t="s">
        <v>166</v>
      </c>
      <c r="B3" s="5" t="s">
        <v>2722</v>
      </c>
      <c r="C3" s="5" t="s">
        <v>2615</v>
      </c>
      <c r="D3" s="5" t="s">
        <v>2718</v>
      </c>
      <c r="E3" s="5" t="s">
        <v>45</v>
      </c>
      <c r="F3" s="5" t="s">
        <v>99</v>
      </c>
      <c r="G3" s="15" t="s">
        <v>2723</v>
      </c>
      <c r="H3" s="15" t="s">
        <v>2724</v>
      </c>
      <c r="I3" s="5" t="s">
        <v>62</v>
      </c>
      <c r="J3" s="5" t="s">
        <v>1240</v>
      </c>
      <c r="K3" s="5" t="s">
        <v>1241</v>
      </c>
      <c r="L3" s="5" t="s">
        <v>2721</v>
      </c>
    </row>
    <row r="4" customFormat="false" ht="231.3" hidden="false" customHeight="false" outlineLevel="0" collapsed="false">
      <c r="A4" s="5" t="s">
        <v>87</v>
      </c>
      <c r="B4" s="5" t="s">
        <v>2725</v>
      </c>
      <c r="C4" s="5" t="s">
        <v>2615</v>
      </c>
      <c r="D4" s="5" t="s">
        <v>2718</v>
      </c>
      <c r="E4" s="5" t="s">
        <v>45</v>
      </c>
      <c r="F4" s="5" t="s">
        <v>99</v>
      </c>
      <c r="G4" s="15" t="s">
        <v>2726</v>
      </c>
      <c r="H4" s="15" t="s">
        <v>2727</v>
      </c>
      <c r="I4" s="5" t="s">
        <v>78</v>
      </c>
      <c r="J4" s="5" t="s">
        <v>1240</v>
      </c>
      <c r="K4" s="5" t="s">
        <v>1241</v>
      </c>
      <c r="L4" s="5" t="s">
        <v>2721</v>
      </c>
    </row>
    <row r="5" customFormat="false" ht="220.85" hidden="false" customHeight="false" outlineLevel="0" collapsed="false">
      <c r="A5" s="5" t="s">
        <v>100</v>
      </c>
      <c r="B5" s="5" t="s">
        <v>2728</v>
      </c>
      <c r="C5" s="5" t="s">
        <v>2615</v>
      </c>
      <c r="D5" s="5" t="s">
        <v>2718</v>
      </c>
      <c r="E5" s="5" t="s">
        <v>45</v>
      </c>
      <c r="F5" s="5" t="s">
        <v>99</v>
      </c>
      <c r="G5" s="15" t="s">
        <v>2729</v>
      </c>
      <c r="H5" s="15" t="s">
        <v>2730</v>
      </c>
      <c r="I5" s="5" t="s">
        <v>2731</v>
      </c>
      <c r="J5" s="5" t="s">
        <v>1240</v>
      </c>
      <c r="K5" s="5" t="s">
        <v>1241</v>
      </c>
      <c r="L5" s="5" t="s">
        <v>2721</v>
      </c>
    </row>
    <row r="6" customFormat="false" ht="220.85" hidden="false" customHeight="false" outlineLevel="0" collapsed="false">
      <c r="A6" s="5" t="s">
        <v>154</v>
      </c>
      <c r="B6" s="5" t="s">
        <v>2732</v>
      </c>
      <c r="C6" s="5" t="s">
        <v>2615</v>
      </c>
      <c r="D6" s="5" t="s">
        <v>2718</v>
      </c>
      <c r="E6" s="5" t="s">
        <v>45</v>
      </c>
      <c r="F6" s="5" t="s">
        <v>99</v>
      </c>
      <c r="G6" s="15" t="s">
        <v>2733</v>
      </c>
      <c r="H6" s="15" t="s">
        <v>2734</v>
      </c>
      <c r="I6" s="5" t="s">
        <v>145</v>
      </c>
      <c r="J6" s="5" t="s">
        <v>1240</v>
      </c>
      <c r="K6" s="5" t="s">
        <v>1241</v>
      </c>
      <c r="L6" s="5" t="s">
        <v>2721</v>
      </c>
    </row>
    <row r="7" customFormat="false" ht="241.75" hidden="false" customHeight="false" outlineLevel="0" collapsed="false">
      <c r="A7" s="5" t="s">
        <v>1243</v>
      </c>
      <c r="B7" s="5" t="s">
        <v>2735</v>
      </c>
      <c r="C7" s="5" t="s">
        <v>2615</v>
      </c>
      <c r="D7" s="5" t="s">
        <v>2736</v>
      </c>
      <c r="E7" s="5" t="s">
        <v>2737</v>
      </c>
      <c r="F7" s="5" t="s">
        <v>99</v>
      </c>
      <c r="G7" s="15" t="s">
        <v>2738</v>
      </c>
      <c r="H7" s="15" t="s">
        <v>2739</v>
      </c>
      <c r="I7" s="5" t="s">
        <v>197</v>
      </c>
      <c r="J7" s="5" t="s">
        <v>873</v>
      </c>
      <c r="K7" s="5" t="s">
        <v>1241</v>
      </c>
      <c r="L7" s="5" t="s">
        <v>2721</v>
      </c>
    </row>
    <row r="8" customFormat="false" ht="387.3" hidden="false" customHeight="false" outlineLevel="0" collapsed="false">
      <c r="A8" s="5" t="s">
        <v>1252</v>
      </c>
      <c r="B8" s="5" t="s">
        <v>2740</v>
      </c>
      <c r="C8" s="5" t="s">
        <v>2615</v>
      </c>
      <c r="D8" s="5" t="s">
        <v>2741</v>
      </c>
      <c r="E8" s="5" t="s">
        <v>2742</v>
      </c>
      <c r="F8" s="5" t="s">
        <v>2743</v>
      </c>
      <c r="G8" s="15" t="s">
        <v>2744</v>
      </c>
      <c r="H8" s="15" t="s">
        <v>2745</v>
      </c>
      <c r="I8" s="5" t="s">
        <v>2746</v>
      </c>
      <c r="J8" s="5" t="s">
        <v>2747</v>
      </c>
      <c r="K8" s="5" t="s">
        <v>1255</v>
      </c>
      <c r="L8" s="5" t="s">
        <v>2721</v>
      </c>
    </row>
    <row r="9" customFormat="false" ht="335.05" hidden="false" customHeight="false" outlineLevel="0" collapsed="false">
      <c r="A9" s="5" t="s">
        <v>1261</v>
      </c>
      <c r="B9" s="5" t="s">
        <v>2748</v>
      </c>
      <c r="C9" s="5" t="s">
        <v>2615</v>
      </c>
      <c r="D9" s="5" t="s">
        <v>2741</v>
      </c>
      <c r="E9" s="5" t="s">
        <v>2742</v>
      </c>
      <c r="F9" s="5" t="s">
        <v>2743</v>
      </c>
      <c r="G9" s="15" t="s">
        <v>2749</v>
      </c>
      <c r="H9" s="15" t="s">
        <v>2750</v>
      </c>
      <c r="I9" s="5" t="s">
        <v>267</v>
      </c>
      <c r="J9" s="5" t="s">
        <v>2751</v>
      </c>
      <c r="K9" s="5" t="s">
        <v>1255</v>
      </c>
      <c r="L9" s="5" t="s">
        <v>2721</v>
      </c>
    </row>
    <row r="10" customFormat="false" ht="335.05" hidden="false" customHeight="false" outlineLevel="0" collapsed="false">
      <c r="A10" s="5" t="s">
        <v>1265</v>
      </c>
      <c r="B10" s="5" t="s">
        <v>2752</v>
      </c>
      <c r="C10" s="5" t="s">
        <v>2615</v>
      </c>
      <c r="D10" s="5" t="s">
        <v>2741</v>
      </c>
      <c r="E10" s="5" t="s">
        <v>2742</v>
      </c>
      <c r="F10" s="5" t="s">
        <v>2743</v>
      </c>
      <c r="G10" s="15" t="s">
        <v>2753</v>
      </c>
      <c r="H10" s="15" t="s">
        <v>2754</v>
      </c>
      <c r="I10" s="5" t="s">
        <v>267</v>
      </c>
      <c r="J10" s="5" t="s">
        <v>1266</v>
      </c>
      <c r="K10" s="5" t="s">
        <v>1255</v>
      </c>
      <c r="L10" s="5" t="s">
        <v>2721</v>
      </c>
    </row>
    <row r="11" customFormat="false" ht="294" hidden="false" customHeight="false" outlineLevel="0" collapsed="false">
      <c r="A11" s="5" t="s">
        <v>1272</v>
      </c>
      <c r="B11" s="5" t="s">
        <v>2755</v>
      </c>
      <c r="C11" s="5" t="s">
        <v>2615</v>
      </c>
      <c r="D11" s="5" t="s">
        <v>2741</v>
      </c>
      <c r="E11" s="5" t="s">
        <v>2742</v>
      </c>
      <c r="F11" s="5" t="s">
        <v>2743</v>
      </c>
      <c r="G11" s="15" t="s">
        <v>2756</v>
      </c>
      <c r="H11" s="15" t="s">
        <v>2757</v>
      </c>
      <c r="I11" s="5" t="s">
        <v>385</v>
      </c>
      <c r="J11" s="5" t="s">
        <v>1273</v>
      </c>
      <c r="K11" s="5" t="s">
        <v>2758</v>
      </c>
      <c r="L11" s="5" t="s">
        <v>2721</v>
      </c>
    </row>
    <row r="12" customFormat="false" ht="366.4" hidden="false" customHeight="false" outlineLevel="0" collapsed="false">
      <c r="A12" s="5" t="s">
        <v>1268</v>
      </c>
      <c r="B12" s="5" t="s">
        <v>2759</v>
      </c>
      <c r="C12" s="5" t="s">
        <v>2615</v>
      </c>
      <c r="D12" s="5" t="s">
        <v>2741</v>
      </c>
      <c r="E12" s="5" t="s">
        <v>2742</v>
      </c>
      <c r="F12" s="5" t="s">
        <v>2743</v>
      </c>
      <c r="G12" s="15" t="s">
        <v>2760</v>
      </c>
      <c r="H12" s="15" t="s">
        <v>2761</v>
      </c>
      <c r="I12" s="5" t="s">
        <v>2762</v>
      </c>
      <c r="J12" s="5" t="s">
        <v>1269</v>
      </c>
      <c r="K12" s="5" t="s">
        <v>1255</v>
      </c>
      <c r="L12" s="5" t="s">
        <v>2721</v>
      </c>
    </row>
    <row r="13" customFormat="false" ht="325.35" hidden="false" customHeight="false" outlineLevel="0" collapsed="false">
      <c r="A13" s="5" t="s">
        <v>497</v>
      </c>
      <c r="B13" s="5" t="s">
        <v>2763</v>
      </c>
      <c r="C13" s="5" t="s">
        <v>2615</v>
      </c>
      <c r="D13" s="5" t="s">
        <v>2764</v>
      </c>
      <c r="E13" s="5" t="s">
        <v>947</v>
      </c>
      <c r="F13" s="5" t="s">
        <v>99</v>
      </c>
      <c r="G13" s="15" t="s">
        <v>2765</v>
      </c>
      <c r="H13" s="15" t="s">
        <v>2766</v>
      </c>
      <c r="I13" s="5" t="s">
        <v>2767</v>
      </c>
      <c r="J13" s="5" t="s">
        <v>2768</v>
      </c>
      <c r="K13" s="5" t="s">
        <v>1241</v>
      </c>
      <c r="L13" s="5" t="s">
        <v>2721</v>
      </c>
    </row>
    <row r="14" customFormat="false" ht="252.2" hidden="false" customHeight="false" outlineLevel="0" collapsed="false">
      <c r="A14" s="5" t="s">
        <v>511</v>
      </c>
      <c r="B14" s="5" t="s">
        <v>2769</v>
      </c>
      <c r="C14" s="5" t="s">
        <v>2615</v>
      </c>
      <c r="D14" s="5" t="s">
        <v>2764</v>
      </c>
      <c r="E14" s="5" t="s">
        <v>947</v>
      </c>
      <c r="F14" s="5" t="s">
        <v>99</v>
      </c>
      <c r="G14" s="15" t="s">
        <v>2770</v>
      </c>
      <c r="H14" s="15" t="s">
        <v>2771</v>
      </c>
      <c r="I14" s="5" t="s">
        <v>503</v>
      </c>
      <c r="J14" s="5" t="s">
        <v>1245</v>
      </c>
      <c r="K14" s="5" t="s">
        <v>1241</v>
      </c>
      <c r="L14" s="5" t="s">
        <v>2721</v>
      </c>
    </row>
    <row r="15" customFormat="false" ht="273.1" hidden="false" customHeight="false" outlineLevel="0" collapsed="false">
      <c r="A15" s="5" t="s">
        <v>434</v>
      </c>
      <c r="B15" s="5" t="s">
        <v>2772</v>
      </c>
      <c r="C15" s="5" t="s">
        <v>2615</v>
      </c>
      <c r="D15" s="5" t="s">
        <v>2741</v>
      </c>
      <c r="E15" s="5" t="s">
        <v>2742</v>
      </c>
      <c r="F15" s="5" t="s">
        <v>2743</v>
      </c>
      <c r="G15" s="15" t="s">
        <v>2773</v>
      </c>
      <c r="H15" s="15" t="s">
        <v>2774</v>
      </c>
      <c r="I15" s="5" t="s">
        <v>2775</v>
      </c>
      <c r="J15" s="5" t="s">
        <v>2776</v>
      </c>
      <c r="K15" s="5" t="s">
        <v>1241</v>
      </c>
      <c r="L15" s="5" t="s">
        <v>2721</v>
      </c>
    </row>
    <row r="16" customFormat="false" ht="273.1" hidden="false" customHeight="false" outlineLevel="0" collapsed="false">
      <c r="A16" s="5" t="s">
        <v>1244</v>
      </c>
      <c r="B16" s="5" t="s">
        <v>2777</v>
      </c>
      <c r="C16" s="5" t="s">
        <v>2615</v>
      </c>
      <c r="D16" s="5" t="s">
        <v>2736</v>
      </c>
      <c r="E16" s="5" t="s">
        <v>2737</v>
      </c>
      <c r="F16" s="5" t="s">
        <v>99</v>
      </c>
      <c r="G16" s="15" t="s">
        <v>2778</v>
      </c>
      <c r="H16" s="15" t="s">
        <v>2779</v>
      </c>
      <c r="I16" s="5" t="s">
        <v>267</v>
      </c>
      <c r="J16" s="5" t="s">
        <v>1245</v>
      </c>
      <c r="K16" s="5" t="s">
        <v>2780</v>
      </c>
      <c r="L16" s="5" t="s">
        <v>2721</v>
      </c>
    </row>
    <row r="17" customFormat="false" ht="262.65" hidden="false" customHeight="false" outlineLevel="0" collapsed="false">
      <c r="A17" s="5" t="s">
        <v>1248</v>
      </c>
      <c r="B17" s="5" t="s">
        <v>2781</v>
      </c>
      <c r="C17" s="5" t="s">
        <v>2615</v>
      </c>
      <c r="D17" s="5" t="s">
        <v>2736</v>
      </c>
      <c r="E17" s="5" t="s">
        <v>2737</v>
      </c>
      <c r="F17" s="5" t="s">
        <v>99</v>
      </c>
      <c r="G17" s="15" t="s">
        <v>2782</v>
      </c>
      <c r="H17" s="15" t="s">
        <v>2783</v>
      </c>
      <c r="I17" s="5" t="s">
        <v>256</v>
      </c>
      <c r="J17" s="5" t="s">
        <v>1249</v>
      </c>
      <c r="K17" s="5" t="s">
        <v>2780</v>
      </c>
      <c r="L17" s="5" t="s">
        <v>2721</v>
      </c>
    </row>
    <row r="18" customFormat="false" ht="262.65" hidden="false" customHeight="false" outlineLevel="0" collapsed="false">
      <c r="A18" s="5" t="s">
        <v>1251</v>
      </c>
      <c r="B18" s="5" t="s">
        <v>2784</v>
      </c>
      <c r="C18" s="5" t="s">
        <v>2615</v>
      </c>
      <c r="D18" s="5" t="s">
        <v>2736</v>
      </c>
      <c r="E18" s="5" t="s">
        <v>2737</v>
      </c>
      <c r="F18" s="5" t="s">
        <v>99</v>
      </c>
      <c r="G18" s="15" t="s">
        <v>2785</v>
      </c>
      <c r="H18" s="15" t="s">
        <v>2786</v>
      </c>
      <c r="I18" s="5" t="s">
        <v>242</v>
      </c>
      <c r="J18" s="5" t="s">
        <v>1245</v>
      </c>
      <c r="K18" s="5" t="s">
        <v>2780</v>
      </c>
      <c r="L18" s="5" t="s">
        <v>2721</v>
      </c>
    </row>
    <row r="19" customFormat="false" ht="273.1" hidden="false" customHeight="false" outlineLevel="0" collapsed="false">
      <c r="A19" s="5" t="s">
        <v>1276</v>
      </c>
      <c r="B19" s="5" t="s">
        <v>2787</v>
      </c>
      <c r="C19" s="5" t="s">
        <v>2615</v>
      </c>
      <c r="D19" s="5" t="s">
        <v>2741</v>
      </c>
      <c r="E19" s="5" t="s">
        <v>2742</v>
      </c>
      <c r="F19" s="5" t="s">
        <v>2743</v>
      </c>
      <c r="G19" s="15" t="s">
        <v>2788</v>
      </c>
      <c r="H19" s="15" t="s">
        <v>2789</v>
      </c>
      <c r="I19" s="5" t="s">
        <v>457</v>
      </c>
      <c r="J19" s="5" t="s">
        <v>1245</v>
      </c>
      <c r="K19" s="5" t="s">
        <v>2780</v>
      </c>
      <c r="L19" s="5" t="s">
        <v>2721</v>
      </c>
    </row>
    <row r="20" customFormat="false" ht="273.1" hidden="false" customHeight="false" outlineLevel="0" collapsed="false">
      <c r="A20" s="5" t="s">
        <v>1277</v>
      </c>
      <c r="B20" s="5" t="s">
        <v>2790</v>
      </c>
      <c r="C20" s="5" t="s">
        <v>2615</v>
      </c>
      <c r="D20" s="5" t="s">
        <v>2741</v>
      </c>
      <c r="E20" s="5" t="s">
        <v>2742</v>
      </c>
      <c r="F20" s="5" t="s">
        <v>2743</v>
      </c>
      <c r="G20" s="15" t="s">
        <v>2791</v>
      </c>
      <c r="H20" s="15" t="s">
        <v>2792</v>
      </c>
      <c r="I20" s="5" t="s">
        <v>2793</v>
      </c>
      <c r="J20" s="5" t="s">
        <v>1245</v>
      </c>
      <c r="K20" s="5" t="s">
        <v>2780</v>
      </c>
      <c r="L20" s="5" t="s">
        <v>2721</v>
      </c>
    </row>
    <row r="21" customFormat="false" ht="283.55" hidden="false" customHeight="false" outlineLevel="0" collapsed="false">
      <c r="A21" s="5" t="s">
        <v>1284</v>
      </c>
      <c r="B21" s="5" t="s">
        <v>2794</v>
      </c>
      <c r="C21" s="5" t="s">
        <v>2615</v>
      </c>
      <c r="D21" s="5" t="s">
        <v>2795</v>
      </c>
      <c r="E21" s="5" t="s">
        <v>516</v>
      </c>
      <c r="F21" s="5" t="s">
        <v>2743</v>
      </c>
      <c r="G21" s="15" t="s">
        <v>2796</v>
      </c>
      <c r="H21" s="15" t="s">
        <v>2797</v>
      </c>
      <c r="I21" s="5" t="s">
        <v>515</v>
      </c>
      <c r="J21" s="5" t="s">
        <v>1245</v>
      </c>
      <c r="K21" s="5" t="s">
        <v>2780</v>
      </c>
      <c r="L21" s="5" t="s">
        <v>2721</v>
      </c>
    </row>
  </sheetData>
  <autoFilter ref="A1:L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2026-10-27T07:46:55Z</dcterms:created>
  <dc:creator>openpyxl</dc:creator>
  <dc:description/>
  <dc:language>en-US</dc:language>
  <cp:lastModifiedBy/>
  <dcterms:modified xsi:type="dcterms:W3CDTF">2026-10-27T07:46:56Z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